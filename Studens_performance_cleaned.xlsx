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1073859D-8A30-4E03-A93B-22A160937BFD}" xr6:coauthVersionLast="47" xr6:coauthVersionMax="47" xr10:uidLastSave="{00000000-0000-0000-0000-000000000000}"/>
  <bookViews>
    <workbookView xWindow="-120" yWindow="-120" windowWidth="20730" windowHeight="11040" firstSheet="3" activeTab="6" xr2:uid="{D52B3BA3-9D75-4865-A8FE-C4FA580D7F26}"/>
  </bookViews>
  <sheets>
    <sheet name="Gender Analysis" sheetId="5" r:id="rId1"/>
    <sheet name="Test Prep Analysis" sheetId="9" r:id="rId2"/>
    <sheet name="Parent Education Anaysis" sheetId="11" r:id="rId3"/>
    <sheet name="Performance Distribution" sheetId="14" r:id="rId4"/>
    <sheet name="Pass Fail Analysis" sheetId="15" r:id="rId5"/>
    <sheet name="Insights" sheetId="16" r:id="rId6"/>
    <sheet name="Studens performance cleaned.xls" sheetId="1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J953" i="1" l="1"/>
  <c r="K953" i="1"/>
  <c r="J913" i="1"/>
  <c r="K913" i="1"/>
  <c r="J873" i="1"/>
  <c r="K873" i="1"/>
  <c r="J833" i="1"/>
  <c r="K833" i="1"/>
  <c r="J793" i="1"/>
  <c r="K793" i="1"/>
  <c r="J745" i="1"/>
  <c r="K745" i="1"/>
  <c r="J681" i="1"/>
  <c r="K681" i="1"/>
  <c r="J633" i="1"/>
  <c r="K633" i="1"/>
  <c r="J593" i="1"/>
  <c r="K593" i="1"/>
  <c r="J545" i="1"/>
  <c r="K545" i="1"/>
  <c r="J505" i="1"/>
  <c r="K505" i="1"/>
  <c r="J457" i="1"/>
  <c r="K457" i="1"/>
  <c r="J409" i="1"/>
  <c r="K409" i="1"/>
  <c r="K369" i="1"/>
  <c r="J369" i="1"/>
  <c r="J337" i="1"/>
  <c r="K337" i="1"/>
  <c r="K305" i="1"/>
  <c r="J305" i="1"/>
  <c r="J265" i="1"/>
  <c r="K265" i="1"/>
  <c r="J225" i="1"/>
  <c r="K225" i="1"/>
  <c r="J185" i="1"/>
  <c r="K185" i="1"/>
  <c r="J145" i="1"/>
  <c r="K145" i="1"/>
  <c r="J105" i="1"/>
  <c r="K105" i="1"/>
  <c r="J65" i="1"/>
  <c r="K65" i="1"/>
  <c r="K968" i="1"/>
  <c r="J968" i="1"/>
  <c r="K936" i="1"/>
  <c r="J936" i="1"/>
  <c r="K896" i="1"/>
  <c r="J896" i="1"/>
  <c r="J856" i="1"/>
  <c r="K856" i="1"/>
  <c r="J800" i="1"/>
  <c r="K800" i="1"/>
  <c r="K768" i="1"/>
  <c r="J768" i="1"/>
  <c r="J728" i="1"/>
  <c r="K728" i="1"/>
  <c r="J688" i="1"/>
  <c r="K688" i="1"/>
  <c r="J648" i="1"/>
  <c r="K648" i="1"/>
  <c r="K600" i="1"/>
  <c r="J600" i="1"/>
  <c r="K552" i="1"/>
  <c r="J552" i="1"/>
  <c r="J528" i="1"/>
  <c r="K528" i="1"/>
  <c r="J512" i="1"/>
  <c r="K512" i="1"/>
  <c r="J504" i="1"/>
  <c r="K504" i="1"/>
  <c r="J496" i="1"/>
  <c r="K496" i="1"/>
  <c r="J480" i="1"/>
  <c r="K480" i="1"/>
  <c r="J448" i="1"/>
  <c r="K448" i="1"/>
  <c r="J440" i="1"/>
  <c r="K440" i="1"/>
  <c r="J432" i="1"/>
  <c r="K432" i="1"/>
  <c r="K424" i="1"/>
  <c r="J424" i="1"/>
  <c r="J416" i="1"/>
  <c r="K416" i="1"/>
  <c r="K408" i="1"/>
  <c r="J408" i="1"/>
  <c r="J400" i="1"/>
  <c r="K400" i="1"/>
  <c r="J392" i="1"/>
  <c r="K392" i="1"/>
  <c r="J384" i="1"/>
  <c r="K384" i="1"/>
  <c r="J376" i="1"/>
  <c r="K376" i="1"/>
  <c r="J368" i="1"/>
  <c r="K368" i="1"/>
  <c r="K360" i="1"/>
  <c r="J360" i="1"/>
  <c r="J352" i="1"/>
  <c r="K352" i="1"/>
  <c r="K344" i="1"/>
  <c r="J344" i="1"/>
  <c r="J336" i="1"/>
  <c r="K336" i="1"/>
  <c r="J328" i="1"/>
  <c r="K328" i="1"/>
  <c r="J320" i="1"/>
  <c r="K320" i="1"/>
  <c r="J312" i="1"/>
  <c r="K312" i="1"/>
  <c r="J304" i="1"/>
  <c r="K304" i="1"/>
  <c r="K296" i="1"/>
  <c r="J296" i="1"/>
  <c r="J288" i="1"/>
  <c r="K288" i="1"/>
  <c r="K280" i="1"/>
  <c r="J280" i="1"/>
  <c r="J272" i="1"/>
  <c r="K272" i="1"/>
  <c r="J264" i="1"/>
  <c r="K264" i="1"/>
  <c r="J256" i="1"/>
  <c r="K256" i="1"/>
  <c r="J248" i="1"/>
  <c r="K248" i="1"/>
  <c r="J240" i="1"/>
  <c r="K240" i="1"/>
  <c r="K232" i="1"/>
  <c r="J232" i="1"/>
  <c r="J224" i="1"/>
  <c r="K224" i="1"/>
  <c r="K216" i="1"/>
  <c r="J216" i="1"/>
  <c r="J208" i="1"/>
  <c r="K208" i="1"/>
  <c r="J200" i="1"/>
  <c r="K200" i="1"/>
  <c r="J192" i="1"/>
  <c r="K192" i="1"/>
  <c r="J184" i="1"/>
  <c r="K184" i="1"/>
  <c r="J176" i="1"/>
  <c r="K176" i="1"/>
  <c r="K168" i="1"/>
  <c r="J168" i="1"/>
  <c r="J160" i="1"/>
  <c r="K160" i="1"/>
  <c r="K152" i="1"/>
  <c r="J152" i="1"/>
  <c r="J144" i="1"/>
  <c r="K144" i="1"/>
  <c r="J136" i="1"/>
  <c r="K136" i="1"/>
  <c r="J128" i="1"/>
  <c r="K128" i="1"/>
  <c r="J120" i="1"/>
  <c r="K120" i="1"/>
  <c r="J112" i="1"/>
  <c r="K112" i="1"/>
  <c r="K104" i="1"/>
  <c r="J104" i="1"/>
  <c r="J96" i="1"/>
  <c r="K96" i="1"/>
  <c r="J88" i="1"/>
  <c r="K88" i="1"/>
  <c r="J80" i="1"/>
  <c r="K80" i="1"/>
  <c r="J72" i="1"/>
  <c r="K72" i="1"/>
  <c r="J64" i="1"/>
  <c r="K64" i="1"/>
  <c r="J56" i="1"/>
  <c r="K56" i="1"/>
  <c r="J48" i="1"/>
  <c r="K48" i="1"/>
  <c r="J40" i="1"/>
  <c r="K40" i="1"/>
  <c r="J32" i="1"/>
  <c r="K32" i="1"/>
  <c r="J24" i="1"/>
  <c r="K24" i="1"/>
  <c r="J16" i="1"/>
  <c r="K16" i="1"/>
  <c r="K999" i="1"/>
  <c r="J999" i="1"/>
  <c r="J991" i="1"/>
  <c r="K991" i="1"/>
  <c r="J983" i="1"/>
  <c r="K983" i="1"/>
  <c r="J975" i="1"/>
  <c r="K975" i="1"/>
  <c r="K967" i="1"/>
  <c r="J967" i="1"/>
  <c r="K959" i="1"/>
  <c r="J959" i="1"/>
  <c r="J951" i="1"/>
  <c r="K951" i="1"/>
  <c r="J943" i="1"/>
  <c r="K943" i="1"/>
  <c r="K935" i="1"/>
  <c r="J935" i="1"/>
  <c r="J927" i="1"/>
  <c r="K927" i="1"/>
  <c r="J919" i="1"/>
  <c r="K919" i="1"/>
  <c r="J911" i="1"/>
  <c r="K911" i="1"/>
  <c r="K903" i="1"/>
  <c r="J903" i="1"/>
  <c r="K895" i="1"/>
  <c r="J895" i="1"/>
  <c r="J887" i="1"/>
  <c r="K887" i="1"/>
  <c r="J879" i="1"/>
  <c r="K879" i="1"/>
  <c r="K871" i="1"/>
  <c r="J871" i="1"/>
  <c r="J863" i="1"/>
  <c r="K863" i="1"/>
  <c r="J855" i="1"/>
  <c r="K855" i="1"/>
  <c r="J847" i="1"/>
  <c r="K847" i="1"/>
  <c r="K839" i="1"/>
  <c r="J839" i="1"/>
  <c r="K831" i="1"/>
  <c r="J831" i="1"/>
  <c r="J823" i="1"/>
  <c r="K823" i="1"/>
  <c r="J815" i="1"/>
  <c r="K815" i="1"/>
  <c r="K807" i="1"/>
  <c r="J807" i="1"/>
  <c r="K799" i="1"/>
  <c r="J799" i="1"/>
  <c r="J791" i="1"/>
  <c r="K791" i="1"/>
  <c r="J783" i="1"/>
  <c r="K783" i="1"/>
  <c r="K775" i="1"/>
  <c r="J775" i="1"/>
  <c r="K767" i="1"/>
  <c r="J767" i="1"/>
  <c r="J759" i="1"/>
  <c r="K759" i="1"/>
  <c r="J751" i="1"/>
  <c r="K751" i="1"/>
  <c r="K743" i="1"/>
  <c r="J743" i="1"/>
  <c r="K735" i="1"/>
  <c r="J735" i="1"/>
  <c r="J727" i="1"/>
  <c r="K727" i="1"/>
  <c r="J719" i="1"/>
  <c r="K719" i="1"/>
  <c r="K711" i="1"/>
  <c r="J711" i="1"/>
  <c r="K703" i="1"/>
  <c r="J703" i="1"/>
  <c r="J695" i="1"/>
  <c r="K695" i="1"/>
  <c r="J687" i="1"/>
  <c r="K687" i="1"/>
  <c r="K679" i="1"/>
  <c r="J679" i="1"/>
  <c r="J671" i="1"/>
  <c r="K671" i="1"/>
  <c r="J663" i="1"/>
  <c r="K663" i="1"/>
  <c r="K655" i="1"/>
  <c r="J655" i="1"/>
  <c r="J647" i="1"/>
  <c r="K647" i="1"/>
  <c r="J639" i="1"/>
  <c r="K639" i="1"/>
  <c r="J631" i="1"/>
  <c r="K631" i="1"/>
  <c r="J623" i="1"/>
  <c r="K623" i="1"/>
  <c r="K615" i="1"/>
  <c r="J615" i="1"/>
  <c r="J607" i="1"/>
  <c r="K607" i="1"/>
  <c r="J599" i="1"/>
  <c r="K599" i="1"/>
  <c r="K591" i="1"/>
  <c r="J591" i="1"/>
  <c r="J583" i="1"/>
  <c r="K583" i="1"/>
  <c r="J575" i="1"/>
  <c r="K575" i="1"/>
  <c r="J567" i="1"/>
  <c r="K567" i="1"/>
  <c r="J559" i="1"/>
  <c r="K559" i="1"/>
  <c r="K551" i="1"/>
  <c r="J551" i="1"/>
  <c r="J543" i="1"/>
  <c r="K543" i="1"/>
  <c r="J535" i="1"/>
  <c r="K535" i="1"/>
  <c r="K527" i="1"/>
  <c r="J527" i="1"/>
  <c r="J519" i="1"/>
  <c r="K519" i="1"/>
  <c r="J511" i="1"/>
  <c r="K511" i="1"/>
  <c r="J503" i="1"/>
  <c r="K503" i="1"/>
  <c r="J495" i="1"/>
  <c r="K495" i="1"/>
  <c r="K487" i="1"/>
  <c r="J487" i="1"/>
  <c r="J479" i="1"/>
  <c r="K479" i="1"/>
  <c r="J471" i="1"/>
  <c r="K471" i="1"/>
  <c r="K463" i="1"/>
  <c r="J463" i="1"/>
  <c r="J455" i="1"/>
  <c r="K455" i="1"/>
  <c r="J447" i="1"/>
  <c r="K447" i="1"/>
  <c r="J439" i="1"/>
  <c r="K439" i="1"/>
  <c r="J431" i="1"/>
  <c r="K431" i="1"/>
  <c r="K423" i="1"/>
  <c r="J423" i="1"/>
  <c r="J415" i="1"/>
  <c r="K415" i="1"/>
  <c r="J407" i="1"/>
  <c r="K407" i="1"/>
  <c r="K399" i="1"/>
  <c r="J399" i="1"/>
  <c r="J391" i="1"/>
  <c r="K391" i="1"/>
  <c r="J383" i="1"/>
  <c r="K383" i="1"/>
  <c r="J375" i="1"/>
  <c r="K375" i="1"/>
  <c r="J367" i="1"/>
  <c r="K367" i="1"/>
  <c r="K359" i="1"/>
  <c r="J359" i="1"/>
  <c r="J351" i="1"/>
  <c r="K351" i="1"/>
  <c r="J343" i="1"/>
  <c r="K343" i="1"/>
  <c r="K335" i="1"/>
  <c r="J335" i="1"/>
  <c r="J327" i="1"/>
  <c r="K327" i="1"/>
  <c r="J319" i="1"/>
  <c r="K319" i="1"/>
  <c r="J311" i="1"/>
  <c r="K311" i="1"/>
  <c r="J303" i="1"/>
  <c r="K303" i="1"/>
  <c r="K295" i="1"/>
  <c r="J295" i="1"/>
  <c r="J287" i="1"/>
  <c r="K287" i="1"/>
  <c r="J279" i="1"/>
  <c r="K279" i="1"/>
  <c r="K271" i="1"/>
  <c r="J271" i="1"/>
  <c r="J263" i="1"/>
  <c r="K263" i="1"/>
  <c r="J255" i="1"/>
  <c r="K255" i="1"/>
  <c r="J247" i="1"/>
  <c r="K247" i="1"/>
  <c r="J239" i="1"/>
  <c r="K239" i="1"/>
  <c r="K231" i="1"/>
  <c r="J231" i="1"/>
  <c r="J223" i="1"/>
  <c r="K223" i="1"/>
  <c r="J215" i="1"/>
  <c r="K215" i="1"/>
  <c r="K207" i="1"/>
  <c r="J207" i="1"/>
  <c r="J199" i="1"/>
  <c r="K199" i="1"/>
  <c r="J191" i="1"/>
  <c r="K191" i="1"/>
  <c r="J183" i="1"/>
  <c r="K183" i="1"/>
  <c r="J175" i="1"/>
  <c r="K175" i="1"/>
  <c r="K167" i="1"/>
  <c r="J167" i="1"/>
  <c r="J159" i="1"/>
  <c r="K159" i="1"/>
  <c r="J151" i="1"/>
  <c r="K151" i="1"/>
  <c r="K143" i="1"/>
  <c r="J143" i="1"/>
  <c r="J135" i="1"/>
  <c r="K135" i="1"/>
  <c r="J127" i="1"/>
  <c r="K127" i="1"/>
  <c r="J119" i="1"/>
  <c r="K119" i="1"/>
  <c r="J111" i="1"/>
  <c r="K111" i="1"/>
  <c r="K103" i="1"/>
  <c r="J103" i="1"/>
  <c r="J95" i="1"/>
  <c r="K95" i="1"/>
  <c r="J87" i="1"/>
  <c r="K87" i="1"/>
  <c r="K79" i="1"/>
  <c r="J79" i="1"/>
  <c r="J71" i="1"/>
  <c r="K71" i="1"/>
  <c r="J63" i="1"/>
  <c r="K63" i="1"/>
  <c r="J55" i="1"/>
  <c r="K55" i="1"/>
  <c r="J47" i="1"/>
  <c r="K47" i="1"/>
  <c r="K39" i="1"/>
  <c r="J39" i="1"/>
  <c r="J31" i="1"/>
  <c r="K31" i="1"/>
  <c r="J23" i="1"/>
  <c r="K23" i="1"/>
  <c r="J15" i="1"/>
  <c r="K15" i="1"/>
  <c r="J985" i="1"/>
  <c r="K985" i="1"/>
  <c r="J945" i="1"/>
  <c r="K945" i="1"/>
  <c r="J905" i="1"/>
  <c r="K905" i="1"/>
  <c r="J865" i="1"/>
  <c r="K865" i="1"/>
  <c r="J825" i="1"/>
  <c r="K825" i="1"/>
  <c r="J785" i="1"/>
  <c r="K785" i="1"/>
  <c r="J753" i="1"/>
  <c r="K753" i="1"/>
  <c r="J713" i="1"/>
  <c r="K713" i="1"/>
  <c r="J673" i="1"/>
  <c r="K673" i="1"/>
  <c r="J641" i="1"/>
  <c r="K641" i="1"/>
  <c r="J609" i="1"/>
  <c r="K609" i="1"/>
  <c r="J569" i="1"/>
  <c r="K569" i="1"/>
  <c r="J529" i="1"/>
  <c r="K529" i="1"/>
  <c r="K497" i="1"/>
  <c r="J497" i="1"/>
  <c r="J465" i="1"/>
  <c r="K465" i="1"/>
  <c r="K433" i="1"/>
  <c r="J433" i="1"/>
  <c r="J393" i="1"/>
  <c r="K393" i="1"/>
  <c r="J353" i="1"/>
  <c r="K353" i="1"/>
  <c r="J313" i="1"/>
  <c r="K313" i="1"/>
  <c r="J281" i="1"/>
  <c r="K281" i="1"/>
  <c r="J257" i="1"/>
  <c r="K257" i="1"/>
  <c r="J217" i="1"/>
  <c r="K217" i="1"/>
  <c r="K177" i="1"/>
  <c r="J177" i="1"/>
  <c r="J137" i="1"/>
  <c r="K137" i="1"/>
  <c r="J97" i="1"/>
  <c r="K97" i="1"/>
  <c r="J57" i="1"/>
  <c r="K57" i="1"/>
  <c r="J976" i="1"/>
  <c r="K976" i="1"/>
  <c r="K904" i="1"/>
  <c r="J904" i="1"/>
  <c r="K872" i="1"/>
  <c r="J872" i="1"/>
  <c r="K840" i="1"/>
  <c r="J840" i="1"/>
  <c r="J816" i="1"/>
  <c r="K816" i="1"/>
  <c r="J776" i="1"/>
  <c r="K776" i="1"/>
  <c r="K744" i="1"/>
  <c r="J744" i="1"/>
  <c r="J712" i="1"/>
  <c r="K712" i="1"/>
  <c r="K664" i="1"/>
  <c r="J664" i="1"/>
  <c r="J632" i="1"/>
  <c r="K632" i="1"/>
  <c r="J608" i="1"/>
  <c r="K608" i="1"/>
  <c r="J584" i="1"/>
  <c r="K584" i="1"/>
  <c r="J544" i="1"/>
  <c r="K544" i="1"/>
  <c r="J456" i="1"/>
  <c r="K456" i="1"/>
  <c r="K990" i="1"/>
  <c r="J990" i="1"/>
  <c r="K958" i="1"/>
  <c r="J958" i="1"/>
  <c r="K934" i="1"/>
  <c r="J934" i="1"/>
  <c r="J902" i="1"/>
  <c r="K902" i="1"/>
  <c r="K886" i="1"/>
  <c r="J886" i="1"/>
  <c r="K862" i="1"/>
  <c r="J862" i="1"/>
  <c r="J838" i="1"/>
  <c r="K838" i="1"/>
  <c r="K814" i="1"/>
  <c r="J814" i="1"/>
  <c r="K798" i="1"/>
  <c r="J798" i="1"/>
  <c r="J774" i="1"/>
  <c r="K774" i="1"/>
  <c r="K758" i="1"/>
  <c r="J758" i="1"/>
  <c r="K734" i="1"/>
  <c r="J734" i="1"/>
  <c r="J710" i="1"/>
  <c r="K710" i="1"/>
  <c r="K686" i="1"/>
  <c r="J686" i="1"/>
  <c r="J670" i="1"/>
  <c r="K670" i="1"/>
  <c r="J646" i="1"/>
  <c r="K646" i="1"/>
  <c r="J622" i="1"/>
  <c r="K622" i="1"/>
  <c r="J606" i="1"/>
  <c r="K606" i="1"/>
  <c r="J582" i="1"/>
  <c r="K582" i="1"/>
  <c r="J558" i="1"/>
  <c r="K558" i="1"/>
  <c r="J542" i="1"/>
  <c r="K542" i="1"/>
  <c r="J518" i="1"/>
  <c r="K518" i="1"/>
  <c r="J494" i="1"/>
  <c r="K494" i="1"/>
  <c r="J478" i="1"/>
  <c r="K478" i="1"/>
  <c r="K462" i="1"/>
  <c r="J462" i="1"/>
  <c r="K438" i="1"/>
  <c r="J438" i="1"/>
  <c r="J414" i="1"/>
  <c r="K414" i="1"/>
  <c r="J390" i="1"/>
  <c r="K390" i="1"/>
  <c r="J366" i="1"/>
  <c r="K366" i="1"/>
  <c r="J342" i="1"/>
  <c r="K342" i="1"/>
  <c r="J318" i="1"/>
  <c r="K318" i="1"/>
  <c r="K294" i="1"/>
  <c r="J294" i="1"/>
  <c r="K270" i="1"/>
  <c r="J270" i="1"/>
  <c r="J254" i="1"/>
  <c r="K254" i="1"/>
  <c r="K230" i="1"/>
  <c r="J230" i="1"/>
  <c r="K206" i="1"/>
  <c r="J206" i="1"/>
  <c r="J190" i="1"/>
  <c r="K190" i="1"/>
  <c r="K166" i="1"/>
  <c r="J166" i="1"/>
  <c r="K142" i="1"/>
  <c r="J142" i="1"/>
  <c r="J126" i="1"/>
  <c r="K126" i="1"/>
  <c r="K102" i="1"/>
  <c r="J102" i="1"/>
  <c r="J86" i="1"/>
  <c r="K86" i="1"/>
  <c r="J70" i="1"/>
  <c r="K70" i="1"/>
  <c r="K54" i="1"/>
  <c r="J54" i="1"/>
  <c r="K38" i="1"/>
  <c r="J38" i="1"/>
  <c r="J30" i="1"/>
  <c r="K30" i="1"/>
  <c r="K14" i="1"/>
  <c r="J14" i="1"/>
  <c r="K997" i="1"/>
  <c r="J997" i="1"/>
  <c r="K981" i="1"/>
  <c r="J981" i="1"/>
  <c r="K973" i="1"/>
  <c r="J973" i="1"/>
  <c r="K965" i="1"/>
  <c r="J965" i="1"/>
  <c r="K957" i="1"/>
  <c r="J957" i="1"/>
  <c r="K949" i="1"/>
  <c r="J949" i="1"/>
  <c r="K941" i="1"/>
  <c r="J941" i="1"/>
  <c r="K933" i="1"/>
  <c r="J933" i="1"/>
  <c r="K925" i="1"/>
  <c r="J925" i="1"/>
  <c r="K917" i="1"/>
  <c r="J917" i="1"/>
  <c r="K909" i="1"/>
  <c r="J909" i="1"/>
  <c r="K901" i="1"/>
  <c r="J901" i="1"/>
  <c r="K893" i="1"/>
  <c r="J893" i="1"/>
  <c r="K885" i="1"/>
  <c r="J885" i="1"/>
  <c r="K877" i="1"/>
  <c r="J877" i="1"/>
  <c r="K869" i="1"/>
  <c r="J869" i="1"/>
  <c r="K861" i="1"/>
  <c r="J861" i="1"/>
  <c r="K853" i="1"/>
  <c r="J853" i="1"/>
  <c r="K845" i="1"/>
  <c r="J845" i="1"/>
  <c r="K837" i="1"/>
  <c r="J837" i="1"/>
  <c r="K829" i="1"/>
  <c r="J829" i="1"/>
  <c r="K821" i="1"/>
  <c r="J821" i="1"/>
  <c r="K813" i="1"/>
  <c r="J813" i="1"/>
  <c r="K805" i="1"/>
  <c r="J805" i="1"/>
  <c r="K797" i="1"/>
  <c r="J797" i="1"/>
  <c r="K789" i="1"/>
  <c r="J789" i="1"/>
  <c r="K781" i="1"/>
  <c r="J781" i="1"/>
  <c r="K773" i="1"/>
  <c r="J773" i="1"/>
  <c r="K765" i="1"/>
  <c r="J765" i="1"/>
  <c r="K757" i="1"/>
  <c r="J757" i="1"/>
  <c r="K749" i="1"/>
  <c r="J749" i="1"/>
  <c r="K741" i="1"/>
  <c r="J741" i="1"/>
  <c r="K733" i="1"/>
  <c r="J733" i="1"/>
  <c r="K725" i="1"/>
  <c r="J725" i="1"/>
  <c r="K717" i="1"/>
  <c r="J717" i="1"/>
  <c r="K709" i="1"/>
  <c r="J709" i="1"/>
  <c r="K701" i="1"/>
  <c r="J701" i="1"/>
  <c r="K693" i="1"/>
  <c r="J693" i="1"/>
  <c r="K685" i="1"/>
  <c r="J685" i="1"/>
  <c r="K677" i="1"/>
  <c r="J677" i="1"/>
  <c r="K669" i="1"/>
  <c r="J669" i="1"/>
  <c r="J661" i="1"/>
  <c r="K661" i="1"/>
  <c r="K653" i="1"/>
  <c r="J653" i="1"/>
  <c r="J645" i="1"/>
  <c r="K645" i="1"/>
  <c r="J637" i="1"/>
  <c r="K637" i="1"/>
  <c r="K629" i="1"/>
  <c r="J629" i="1"/>
  <c r="J621" i="1"/>
  <c r="K621" i="1"/>
  <c r="K613" i="1"/>
  <c r="J613" i="1"/>
  <c r="K605" i="1"/>
  <c r="J605" i="1"/>
  <c r="J597" i="1"/>
  <c r="K597" i="1"/>
  <c r="K589" i="1"/>
  <c r="J589" i="1"/>
  <c r="J581" i="1"/>
  <c r="K581" i="1"/>
  <c r="J573" i="1"/>
  <c r="K573" i="1"/>
  <c r="K565" i="1"/>
  <c r="J565" i="1"/>
  <c r="J557" i="1"/>
  <c r="K557" i="1"/>
  <c r="K549" i="1"/>
  <c r="J549" i="1"/>
  <c r="K541" i="1"/>
  <c r="J541" i="1"/>
  <c r="J533" i="1"/>
  <c r="K533" i="1"/>
  <c r="K525" i="1"/>
  <c r="J525" i="1"/>
  <c r="J517" i="1"/>
  <c r="K517" i="1"/>
  <c r="J509" i="1"/>
  <c r="K509" i="1"/>
  <c r="K501" i="1"/>
  <c r="J501" i="1"/>
  <c r="J493" i="1"/>
  <c r="K493" i="1"/>
  <c r="K485" i="1"/>
  <c r="J485" i="1"/>
  <c r="K477" i="1"/>
  <c r="J477" i="1"/>
  <c r="J469" i="1"/>
  <c r="K469" i="1"/>
  <c r="K461" i="1"/>
  <c r="J461" i="1"/>
  <c r="J453" i="1"/>
  <c r="K453" i="1"/>
  <c r="J445" i="1"/>
  <c r="K445" i="1"/>
  <c r="K437" i="1"/>
  <c r="J437" i="1"/>
  <c r="J429" i="1"/>
  <c r="K429" i="1"/>
  <c r="K421" i="1"/>
  <c r="J421" i="1"/>
  <c r="K413" i="1"/>
  <c r="J413" i="1"/>
  <c r="J405" i="1"/>
  <c r="K405" i="1"/>
  <c r="K397" i="1"/>
  <c r="J397" i="1"/>
  <c r="J389" i="1"/>
  <c r="K389" i="1"/>
  <c r="J381" i="1"/>
  <c r="K381" i="1"/>
  <c r="K373" i="1"/>
  <c r="J373" i="1"/>
  <c r="J365" i="1"/>
  <c r="K365" i="1"/>
  <c r="K357" i="1"/>
  <c r="J357" i="1"/>
  <c r="K349" i="1"/>
  <c r="J349" i="1"/>
  <c r="J341" i="1"/>
  <c r="K341" i="1"/>
  <c r="K333" i="1"/>
  <c r="J333" i="1"/>
  <c r="J325" i="1"/>
  <c r="K325" i="1"/>
  <c r="J317" i="1"/>
  <c r="K317" i="1"/>
  <c r="K309" i="1"/>
  <c r="J309" i="1"/>
  <c r="J301" i="1"/>
  <c r="K301" i="1"/>
  <c r="K293" i="1"/>
  <c r="J293" i="1"/>
  <c r="K285" i="1"/>
  <c r="J285" i="1"/>
  <c r="J277" i="1"/>
  <c r="K277" i="1"/>
  <c r="K269" i="1"/>
  <c r="J269" i="1"/>
  <c r="J261" i="1"/>
  <c r="K261" i="1"/>
  <c r="J253" i="1"/>
  <c r="K253" i="1"/>
  <c r="K245" i="1"/>
  <c r="J245" i="1"/>
  <c r="J237" i="1"/>
  <c r="K237" i="1"/>
  <c r="K229" i="1"/>
  <c r="J229" i="1"/>
  <c r="K221" i="1"/>
  <c r="J221" i="1"/>
  <c r="J213" i="1"/>
  <c r="K213" i="1"/>
  <c r="K205" i="1"/>
  <c r="J205" i="1"/>
  <c r="J197" i="1"/>
  <c r="K197" i="1"/>
  <c r="J189" i="1"/>
  <c r="K189" i="1"/>
  <c r="K181" i="1"/>
  <c r="J181" i="1"/>
  <c r="J173" i="1"/>
  <c r="K173" i="1"/>
  <c r="K165" i="1"/>
  <c r="J165" i="1"/>
  <c r="K157" i="1"/>
  <c r="J157" i="1"/>
  <c r="J149" i="1"/>
  <c r="K149" i="1"/>
  <c r="K141" i="1"/>
  <c r="J141" i="1"/>
  <c r="J133" i="1"/>
  <c r="K133" i="1"/>
  <c r="J125" i="1"/>
  <c r="K125" i="1"/>
  <c r="K117" i="1"/>
  <c r="J117" i="1"/>
  <c r="J109" i="1"/>
  <c r="K109" i="1"/>
  <c r="K101" i="1"/>
  <c r="J101" i="1"/>
  <c r="K93" i="1"/>
  <c r="J93" i="1"/>
  <c r="J85" i="1"/>
  <c r="K85" i="1"/>
  <c r="K77" i="1"/>
  <c r="J77" i="1"/>
  <c r="J69" i="1"/>
  <c r="K69" i="1"/>
  <c r="J61" i="1"/>
  <c r="K61" i="1"/>
  <c r="K53" i="1"/>
  <c r="J53" i="1"/>
  <c r="J45" i="1"/>
  <c r="K45" i="1"/>
  <c r="K37" i="1"/>
  <c r="J37" i="1"/>
  <c r="K29" i="1"/>
  <c r="J29" i="1"/>
  <c r="J21" i="1"/>
  <c r="K21" i="1"/>
  <c r="K13" i="1"/>
  <c r="J13" i="1"/>
  <c r="J993" i="1"/>
  <c r="K993" i="1"/>
  <c r="J961" i="1"/>
  <c r="K961" i="1"/>
  <c r="J921" i="1"/>
  <c r="K921" i="1"/>
  <c r="J881" i="1"/>
  <c r="K881" i="1"/>
  <c r="J841" i="1"/>
  <c r="K841" i="1"/>
  <c r="J801" i="1"/>
  <c r="K801" i="1"/>
  <c r="J761" i="1"/>
  <c r="K761" i="1"/>
  <c r="J729" i="1"/>
  <c r="K729" i="1"/>
  <c r="J705" i="1"/>
  <c r="K705" i="1"/>
  <c r="J665" i="1"/>
  <c r="K665" i="1"/>
  <c r="K625" i="1"/>
  <c r="J625" i="1"/>
  <c r="J585" i="1"/>
  <c r="K585" i="1"/>
  <c r="J553" i="1"/>
  <c r="K553" i="1"/>
  <c r="J513" i="1"/>
  <c r="K513" i="1"/>
  <c r="J473" i="1"/>
  <c r="K473" i="1"/>
  <c r="J425" i="1"/>
  <c r="K425" i="1"/>
  <c r="J385" i="1"/>
  <c r="K385" i="1"/>
  <c r="J345" i="1"/>
  <c r="K345" i="1"/>
  <c r="J297" i="1"/>
  <c r="K297" i="1"/>
  <c r="J233" i="1"/>
  <c r="K233" i="1"/>
  <c r="J193" i="1"/>
  <c r="K193" i="1"/>
  <c r="J153" i="1"/>
  <c r="K153" i="1"/>
  <c r="K113" i="1"/>
  <c r="J113" i="1"/>
  <c r="J73" i="1"/>
  <c r="K73" i="1"/>
  <c r="J992" i="1"/>
  <c r="K992" i="1"/>
  <c r="J952" i="1"/>
  <c r="K952" i="1"/>
  <c r="J920" i="1"/>
  <c r="K920" i="1"/>
  <c r="J880" i="1"/>
  <c r="K880" i="1"/>
  <c r="K832" i="1"/>
  <c r="J832" i="1"/>
  <c r="J784" i="1"/>
  <c r="K784" i="1"/>
  <c r="J736" i="1"/>
  <c r="K736" i="1"/>
  <c r="J696" i="1"/>
  <c r="K696" i="1"/>
  <c r="J672" i="1"/>
  <c r="K672" i="1"/>
  <c r="J624" i="1"/>
  <c r="K624" i="1"/>
  <c r="J592" i="1"/>
  <c r="K592" i="1"/>
  <c r="J560" i="1"/>
  <c r="K560" i="1"/>
  <c r="J520" i="1"/>
  <c r="K520" i="1"/>
  <c r="J464" i="1"/>
  <c r="K464" i="1"/>
  <c r="K982" i="1"/>
  <c r="J982" i="1"/>
  <c r="K950" i="1"/>
  <c r="J950" i="1"/>
  <c r="K926" i="1"/>
  <c r="J926" i="1"/>
  <c r="K894" i="1"/>
  <c r="J894" i="1"/>
  <c r="J870" i="1"/>
  <c r="K870" i="1"/>
  <c r="K846" i="1"/>
  <c r="J846" i="1"/>
  <c r="K822" i="1"/>
  <c r="J822" i="1"/>
  <c r="K790" i="1"/>
  <c r="J790" i="1"/>
  <c r="K766" i="1"/>
  <c r="J766" i="1"/>
  <c r="J742" i="1"/>
  <c r="K742" i="1"/>
  <c r="K718" i="1"/>
  <c r="J718" i="1"/>
  <c r="K702" i="1"/>
  <c r="J702" i="1"/>
  <c r="J678" i="1"/>
  <c r="K678" i="1"/>
  <c r="K654" i="1"/>
  <c r="J654" i="1"/>
  <c r="K630" i="1"/>
  <c r="J630" i="1"/>
  <c r="K590" i="1"/>
  <c r="J590" i="1"/>
  <c r="K566" i="1"/>
  <c r="J566" i="1"/>
  <c r="J534" i="1"/>
  <c r="K534" i="1"/>
  <c r="J510" i="1"/>
  <c r="K510" i="1"/>
  <c r="K486" i="1"/>
  <c r="J486" i="1"/>
  <c r="J446" i="1"/>
  <c r="K446" i="1"/>
  <c r="K422" i="1"/>
  <c r="J422" i="1"/>
  <c r="K398" i="1"/>
  <c r="J398" i="1"/>
  <c r="J382" i="1"/>
  <c r="K382" i="1"/>
  <c r="K358" i="1"/>
  <c r="J358" i="1"/>
  <c r="K334" i="1"/>
  <c r="J334" i="1"/>
  <c r="K310" i="1"/>
  <c r="J310" i="1"/>
  <c r="J286" i="1"/>
  <c r="K286" i="1"/>
  <c r="J262" i="1"/>
  <c r="K262" i="1"/>
  <c r="J238" i="1"/>
  <c r="K238" i="1"/>
  <c r="J214" i="1"/>
  <c r="K214" i="1"/>
  <c r="K182" i="1"/>
  <c r="J182" i="1"/>
  <c r="J158" i="1"/>
  <c r="K158" i="1"/>
  <c r="J134" i="1"/>
  <c r="K134" i="1"/>
  <c r="J110" i="1"/>
  <c r="K110" i="1"/>
  <c r="J94" i="1"/>
  <c r="K94" i="1"/>
  <c r="K78" i="1"/>
  <c r="J78" i="1"/>
  <c r="J62" i="1"/>
  <c r="K62" i="1"/>
  <c r="J46" i="1"/>
  <c r="K46" i="1"/>
  <c r="K989" i="1"/>
  <c r="J989" i="1"/>
  <c r="J996" i="1"/>
  <c r="K996" i="1"/>
  <c r="J988" i="1"/>
  <c r="K988" i="1"/>
  <c r="J980" i="1"/>
  <c r="K980" i="1"/>
  <c r="J972" i="1"/>
  <c r="K972" i="1"/>
  <c r="K964" i="1"/>
  <c r="J964" i="1"/>
  <c r="J956" i="1"/>
  <c r="K956" i="1"/>
  <c r="J948" i="1"/>
  <c r="K948" i="1"/>
  <c r="J940" i="1"/>
  <c r="K940" i="1"/>
  <c r="K932" i="1"/>
  <c r="J932" i="1"/>
  <c r="K924" i="1"/>
  <c r="J924" i="1"/>
  <c r="K916" i="1"/>
  <c r="J916" i="1"/>
  <c r="K908" i="1"/>
  <c r="J908" i="1"/>
  <c r="K900" i="1"/>
  <c r="J900" i="1"/>
  <c r="K892" i="1"/>
  <c r="J892" i="1"/>
  <c r="K884" i="1"/>
  <c r="J884" i="1"/>
  <c r="K876" i="1"/>
  <c r="J876" i="1"/>
  <c r="K868" i="1"/>
  <c r="J868" i="1"/>
  <c r="K860" i="1"/>
  <c r="J860" i="1"/>
  <c r="K852" i="1"/>
  <c r="J852" i="1"/>
  <c r="K844" i="1"/>
  <c r="J844" i="1"/>
  <c r="K836" i="1"/>
  <c r="J836" i="1"/>
  <c r="K828" i="1"/>
  <c r="J828" i="1"/>
  <c r="K820" i="1"/>
  <c r="J820" i="1"/>
  <c r="K812" i="1"/>
  <c r="J812" i="1"/>
  <c r="K804" i="1"/>
  <c r="J804" i="1"/>
  <c r="K796" i="1"/>
  <c r="J796" i="1"/>
  <c r="K788" i="1"/>
  <c r="J788" i="1"/>
  <c r="K780" i="1"/>
  <c r="J780" i="1"/>
  <c r="K772" i="1"/>
  <c r="J772" i="1"/>
  <c r="K764" i="1"/>
  <c r="J764" i="1"/>
  <c r="K756" i="1"/>
  <c r="J756" i="1"/>
  <c r="K748" i="1"/>
  <c r="J748" i="1"/>
  <c r="K740" i="1"/>
  <c r="J740" i="1"/>
  <c r="K732" i="1"/>
  <c r="J732" i="1"/>
  <c r="K724" i="1"/>
  <c r="J724" i="1"/>
  <c r="K716" i="1"/>
  <c r="J716" i="1"/>
  <c r="K708" i="1"/>
  <c r="J708" i="1"/>
  <c r="K700" i="1"/>
  <c r="J700" i="1"/>
  <c r="K692" i="1"/>
  <c r="J692" i="1"/>
  <c r="K684" i="1"/>
  <c r="J684" i="1"/>
  <c r="J676" i="1"/>
  <c r="K676" i="1"/>
  <c r="J668" i="1"/>
  <c r="K668" i="1"/>
  <c r="J660" i="1"/>
  <c r="K660" i="1"/>
  <c r="J652" i="1"/>
  <c r="K652" i="1"/>
  <c r="J644" i="1"/>
  <c r="K644" i="1"/>
  <c r="J636" i="1"/>
  <c r="K636" i="1"/>
  <c r="J628" i="1"/>
  <c r="K628" i="1"/>
  <c r="J620" i="1"/>
  <c r="K620" i="1"/>
  <c r="J612" i="1"/>
  <c r="K612" i="1"/>
  <c r="J604" i="1"/>
  <c r="K604" i="1"/>
  <c r="J596" i="1"/>
  <c r="K596" i="1"/>
  <c r="J588" i="1"/>
  <c r="K588" i="1"/>
  <c r="J580" i="1"/>
  <c r="K580" i="1"/>
  <c r="J572" i="1"/>
  <c r="K572" i="1"/>
  <c r="J564" i="1"/>
  <c r="K564" i="1"/>
  <c r="J556" i="1"/>
  <c r="K556" i="1"/>
  <c r="J548" i="1"/>
  <c r="K548" i="1"/>
  <c r="J540" i="1"/>
  <c r="K540" i="1"/>
  <c r="J532" i="1"/>
  <c r="K532" i="1"/>
  <c r="J524" i="1"/>
  <c r="K524" i="1"/>
  <c r="J516" i="1"/>
  <c r="K516" i="1"/>
  <c r="J508" i="1"/>
  <c r="K508" i="1"/>
  <c r="J500" i="1"/>
  <c r="K500" i="1"/>
  <c r="J492" i="1"/>
  <c r="K492" i="1"/>
  <c r="J484" i="1"/>
  <c r="K484" i="1"/>
  <c r="J476" i="1"/>
  <c r="K476" i="1"/>
  <c r="J468" i="1"/>
  <c r="K468" i="1"/>
  <c r="J460" i="1"/>
  <c r="K460" i="1"/>
  <c r="J452" i="1"/>
  <c r="K452" i="1"/>
  <c r="J444" i="1"/>
  <c r="K444" i="1"/>
  <c r="J436" i="1"/>
  <c r="K436" i="1"/>
  <c r="J428" i="1"/>
  <c r="K428" i="1"/>
  <c r="J420" i="1"/>
  <c r="K420" i="1"/>
  <c r="J412" i="1"/>
  <c r="K412" i="1"/>
  <c r="J404" i="1"/>
  <c r="K404" i="1"/>
  <c r="J396" i="1"/>
  <c r="K396" i="1"/>
  <c r="J388" i="1"/>
  <c r="K388" i="1"/>
  <c r="J380" i="1"/>
  <c r="K380" i="1"/>
  <c r="J372" i="1"/>
  <c r="K372" i="1"/>
  <c r="J364" i="1"/>
  <c r="K364" i="1"/>
  <c r="J356" i="1"/>
  <c r="K356" i="1"/>
  <c r="J348" i="1"/>
  <c r="K348" i="1"/>
  <c r="J340" i="1"/>
  <c r="K340" i="1"/>
  <c r="J332" i="1"/>
  <c r="K332" i="1"/>
  <c r="J324" i="1"/>
  <c r="K324" i="1"/>
  <c r="J316" i="1"/>
  <c r="K316" i="1"/>
  <c r="J308" i="1"/>
  <c r="K308" i="1"/>
  <c r="J300" i="1"/>
  <c r="K300" i="1"/>
  <c r="J292" i="1"/>
  <c r="K292" i="1"/>
  <c r="J284" i="1"/>
  <c r="K284" i="1"/>
  <c r="J276" i="1"/>
  <c r="K276" i="1"/>
  <c r="J268" i="1"/>
  <c r="K268" i="1"/>
  <c r="J260" i="1"/>
  <c r="K260" i="1"/>
  <c r="J252" i="1"/>
  <c r="K252" i="1"/>
  <c r="J244" i="1"/>
  <c r="K244" i="1"/>
  <c r="J236" i="1"/>
  <c r="K236" i="1"/>
  <c r="J228" i="1"/>
  <c r="K228" i="1"/>
  <c r="J220" i="1"/>
  <c r="K220" i="1"/>
  <c r="J212" i="1"/>
  <c r="K212" i="1"/>
  <c r="J204" i="1"/>
  <c r="K204" i="1"/>
  <c r="J196" i="1"/>
  <c r="K196" i="1"/>
  <c r="J188" i="1"/>
  <c r="K188" i="1"/>
  <c r="J180" i="1"/>
  <c r="K180" i="1"/>
  <c r="J172" i="1"/>
  <c r="K172" i="1"/>
  <c r="J164" i="1"/>
  <c r="K164" i="1"/>
  <c r="J156" i="1"/>
  <c r="K156" i="1"/>
  <c r="J148" i="1"/>
  <c r="K148" i="1"/>
  <c r="J140" i="1"/>
  <c r="K140" i="1"/>
  <c r="J132" i="1"/>
  <c r="K132" i="1"/>
  <c r="J124" i="1"/>
  <c r="K124" i="1"/>
  <c r="J116" i="1"/>
  <c r="K116" i="1"/>
  <c r="J108" i="1"/>
  <c r="K108" i="1"/>
  <c r="J100" i="1"/>
  <c r="K100" i="1"/>
  <c r="J92" i="1"/>
  <c r="K92" i="1"/>
  <c r="J84" i="1"/>
  <c r="K84" i="1"/>
  <c r="J76" i="1"/>
  <c r="K76" i="1"/>
  <c r="J68" i="1"/>
  <c r="K68" i="1"/>
  <c r="J60" i="1"/>
  <c r="K60" i="1"/>
  <c r="J52" i="1"/>
  <c r="K52" i="1"/>
  <c r="J44" i="1"/>
  <c r="K44" i="1"/>
  <c r="J36" i="1"/>
  <c r="K36" i="1"/>
  <c r="J28" i="1"/>
  <c r="K28" i="1"/>
  <c r="J20" i="1"/>
  <c r="K20" i="1"/>
  <c r="J12" i="1"/>
  <c r="K12" i="1"/>
  <c r="J977" i="1"/>
  <c r="K977" i="1"/>
  <c r="J937" i="1"/>
  <c r="K937" i="1"/>
  <c r="J889" i="1"/>
  <c r="K889" i="1"/>
  <c r="J849" i="1"/>
  <c r="K849" i="1"/>
  <c r="J809" i="1"/>
  <c r="K809" i="1"/>
  <c r="J769" i="1"/>
  <c r="K769" i="1"/>
  <c r="J737" i="1"/>
  <c r="K737" i="1"/>
  <c r="J697" i="1"/>
  <c r="K697" i="1"/>
  <c r="J657" i="1"/>
  <c r="K657" i="1"/>
  <c r="J617" i="1"/>
  <c r="K617" i="1"/>
  <c r="J577" i="1"/>
  <c r="K577" i="1"/>
  <c r="J537" i="1"/>
  <c r="K537" i="1"/>
  <c r="J489" i="1"/>
  <c r="K489" i="1"/>
  <c r="J441" i="1"/>
  <c r="K441" i="1"/>
  <c r="J401" i="1"/>
  <c r="K401" i="1"/>
  <c r="J361" i="1"/>
  <c r="K361" i="1"/>
  <c r="J321" i="1"/>
  <c r="K321" i="1"/>
  <c r="J273" i="1"/>
  <c r="K273" i="1"/>
  <c r="J249" i="1"/>
  <c r="K249" i="1"/>
  <c r="J209" i="1"/>
  <c r="K209" i="1"/>
  <c r="J169" i="1"/>
  <c r="K169" i="1"/>
  <c r="J129" i="1"/>
  <c r="K129" i="1"/>
  <c r="J89" i="1"/>
  <c r="K89" i="1"/>
  <c r="K1000" i="1"/>
  <c r="J1000" i="1"/>
  <c r="K960" i="1"/>
  <c r="J960" i="1"/>
  <c r="J928" i="1"/>
  <c r="K928" i="1"/>
  <c r="J888" i="1"/>
  <c r="K888" i="1"/>
  <c r="J848" i="1"/>
  <c r="K848" i="1"/>
  <c r="K808" i="1"/>
  <c r="J808" i="1"/>
  <c r="J760" i="1"/>
  <c r="K760" i="1"/>
  <c r="J720" i="1"/>
  <c r="K720" i="1"/>
  <c r="K680" i="1"/>
  <c r="J680" i="1"/>
  <c r="J640" i="1"/>
  <c r="K640" i="1"/>
  <c r="J576" i="1"/>
  <c r="K576" i="1"/>
  <c r="K488" i="1"/>
  <c r="J488" i="1"/>
  <c r="K998" i="1"/>
  <c r="J998" i="1"/>
  <c r="K966" i="1"/>
  <c r="J966" i="1"/>
  <c r="J918" i="1"/>
  <c r="K918" i="1"/>
  <c r="K907" i="1"/>
  <c r="J907" i="1"/>
  <c r="K899" i="1"/>
  <c r="J899" i="1"/>
  <c r="K891" i="1"/>
  <c r="J891" i="1"/>
  <c r="K883" i="1"/>
  <c r="J883" i="1"/>
  <c r="K875" i="1"/>
  <c r="J875" i="1"/>
  <c r="K867" i="1"/>
  <c r="J867" i="1"/>
  <c r="K859" i="1"/>
  <c r="J859" i="1"/>
  <c r="K851" i="1"/>
  <c r="J851" i="1"/>
  <c r="K843" i="1"/>
  <c r="J843" i="1"/>
  <c r="K835" i="1"/>
  <c r="J835" i="1"/>
  <c r="K827" i="1"/>
  <c r="J827" i="1"/>
  <c r="K819" i="1"/>
  <c r="J819" i="1"/>
  <c r="K811" i="1"/>
  <c r="J811" i="1"/>
  <c r="K803" i="1"/>
  <c r="J803" i="1"/>
  <c r="K795" i="1"/>
  <c r="J795" i="1"/>
  <c r="K787" i="1"/>
  <c r="J787" i="1"/>
  <c r="K779" i="1"/>
  <c r="J779" i="1"/>
  <c r="K771" i="1"/>
  <c r="J771" i="1"/>
  <c r="K763" i="1"/>
  <c r="J763" i="1"/>
  <c r="K755" i="1"/>
  <c r="J755" i="1"/>
  <c r="K747" i="1"/>
  <c r="J747" i="1"/>
  <c r="K739" i="1"/>
  <c r="J739" i="1"/>
  <c r="K731" i="1"/>
  <c r="J731" i="1"/>
  <c r="K723" i="1"/>
  <c r="J723" i="1"/>
  <c r="K715" i="1"/>
  <c r="J715" i="1"/>
  <c r="K707" i="1"/>
  <c r="J707" i="1"/>
  <c r="K699" i="1"/>
  <c r="J699" i="1"/>
  <c r="K691" i="1"/>
  <c r="J691" i="1"/>
  <c r="K683" i="1"/>
  <c r="J683" i="1"/>
  <c r="J675" i="1"/>
  <c r="K675" i="1"/>
  <c r="J667" i="1"/>
  <c r="K667" i="1"/>
  <c r="J659" i="1"/>
  <c r="K659" i="1"/>
  <c r="J651" i="1"/>
  <c r="K651" i="1"/>
  <c r="J643" i="1"/>
  <c r="K643" i="1"/>
  <c r="J635" i="1"/>
  <c r="K635" i="1"/>
  <c r="J627" i="1"/>
  <c r="K627" i="1"/>
  <c r="J619" i="1"/>
  <c r="K619" i="1"/>
  <c r="J611" i="1"/>
  <c r="K611" i="1"/>
  <c r="J603" i="1"/>
  <c r="K603" i="1"/>
  <c r="J595" i="1"/>
  <c r="K595" i="1"/>
  <c r="J587" i="1"/>
  <c r="K587" i="1"/>
  <c r="J579" i="1"/>
  <c r="K579" i="1"/>
  <c r="J571" i="1"/>
  <c r="K571" i="1"/>
  <c r="J563" i="1"/>
  <c r="K563" i="1"/>
  <c r="J555" i="1"/>
  <c r="K555" i="1"/>
  <c r="J547" i="1"/>
  <c r="K547" i="1"/>
  <c r="J539" i="1"/>
  <c r="K539" i="1"/>
  <c r="J531" i="1"/>
  <c r="K531" i="1"/>
  <c r="J523" i="1"/>
  <c r="K523" i="1"/>
  <c r="J515" i="1"/>
  <c r="K515" i="1"/>
  <c r="J507" i="1"/>
  <c r="K507" i="1"/>
  <c r="J499" i="1"/>
  <c r="K499" i="1"/>
  <c r="J491" i="1"/>
  <c r="K491" i="1"/>
  <c r="J483" i="1"/>
  <c r="K483" i="1"/>
  <c r="J475" i="1"/>
  <c r="K475" i="1"/>
  <c r="J467" i="1"/>
  <c r="K467" i="1"/>
  <c r="J459" i="1"/>
  <c r="K459" i="1"/>
  <c r="J451" i="1"/>
  <c r="K451" i="1"/>
  <c r="J443" i="1"/>
  <c r="K443" i="1"/>
  <c r="J435" i="1"/>
  <c r="K435" i="1"/>
  <c r="J427" i="1"/>
  <c r="K427" i="1"/>
  <c r="J419" i="1"/>
  <c r="K419" i="1"/>
  <c r="J411" i="1"/>
  <c r="K411" i="1"/>
  <c r="J403" i="1"/>
  <c r="K403" i="1"/>
  <c r="J395" i="1"/>
  <c r="K395" i="1"/>
  <c r="J387" i="1"/>
  <c r="K387" i="1"/>
  <c r="J379" i="1"/>
  <c r="K379" i="1"/>
  <c r="J371" i="1"/>
  <c r="K371" i="1"/>
  <c r="J363" i="1"/>
  <c r="K363" i="1"/>
  <c r="J355" i="1"/>
  <c r="K355" i="1"/>
  <c r="J347" i="1"/>
  <c r="K347" i="1"/>
  <c r="J339" i="1"/>
  <c r="K339" i="1"/>
  <c r="J331" i="1"/>
  <c r="K331" i="1"/>
  <c r="J323" i="1"/>
  <c r="K323" i="1"/>
  <c r="J315" i="1"/>
  <c r="K315" i="1"/>
  <c r="J307" i="1"/>
  <c r="K307" i="1"/>
  <c r="J299" i="1"/>
  <c r="K299" i="1"/>
  <c r="J291" i="1"/>
  <c r="K291" i="1"/>
  <c r="J283" i="1"/>
  <c r="K283" i="1"/>
  <c r="J275" i="1"/>
  <c r="K275" i="1"/>
  <c r="J267" i="1"/>
  <c r="K267" i="1"/>
  <c r="J259" i="1"/>
  <c r="K259" i="1"/>
  <c r="J251" i="1"/>
  <c r="K251" i="1"/>
  <c r="J243" i="1"/>
  <c r="K243" i="1"/>
  <c r="J235" i="1"/>
  <c r="K235" i="1"/>
  <c r="J227" i="1"/>
  <c r="K227" i="1"/>
  <c r="J219" i="1"/>
  <c r="K219" i="1"/>
  <c r="J211" i="1"/>
  <c r="K211" i="1"/>
  <c r="J203" i="1"/>
  <c r="K203" i="1"/>
  <c r="J195" i="1"/>
  <c r="K195" i="1"/>
  <c r="J187" i="1"/>
  <c r="K187" i="1"/>
  <c r="J179" i="1"/>
  <c r="K179" i="1"/>
  <c r="J171" i="1"/>
  <c r="K171" i="1"/>
  <c r="J163" i="1"/>
  <c r="K163" i="1"/>
  <c r="J155" i="1"/>
  <c r="K155" i="1"/>
  <c r="J147" i="1"/>
  <c r="K147" i="1"/>
  <c r="J139" i="1"/>
  <c r="K139" i="1"/>
  <c r="J131" i="1"/>
  <c r="K131" i="1"/>
  <c r="J123" i="1"/>
  <c r="K123" i="1"/>
  <c r="J115" i="1"/>
  <c r="K115" i="1"/>
  <c r="J107" i="1"/>
  <c r="K107" i="1"/>
  <c r="J99" i="1"/>
  <c r="K99" i="1"/>
  <c r="J91" i="1"/>
  <c r="K91" i="1"/>
  <c r="J83" i="1"/>
  <c r="K83" i="1"/>
  <c r="J75" i="1"/>
  <c r="K75" i="1"/>
  <c r="J67" i="1"/>
  <c r="K67" i="1"/>
  <c r="J59" i="1"/>
  <c r="K59" i="1"/>
  <c r="J51" i="1"/>
  <c r="K51" i="1"/>
  <c r="J43" i="1"/>
  <c r="K43" i="1"/>
  <c r="J35" i="1"/>
  <c r="K35" i="1"/>
  <c r="J27" i="1"/>
  <c r="K27" i="1"/>
  <c r="J19" i="1"/>
  <c r="K19" i="1"/>
  <c r="J11" i="1"/>
  <c r="K11" i="1"/>
  <c r="J969" i="1"/>
  <c r="K969" i="1"/>
  <c r="J929" i="1"/>
  <c r="K929" i="1"/>
  <c r="J897" i="1"/>
  <c r="K897" i="1"/>
  <c r="J857" i="1"/>
  <c r="K857" i="1"/>
  <c r="J817" i="1"/>
  <c r="K817" i="1"/>
  <c r="J777" i="1"/>
  <c r="K777" i="1"/>
  <c r="J721" i="1"/>
  <c r="K721" i="1"/>
  <c r="J689" i="1"/>
  <c r="K689" i="1"/>
  <c r="J649" i="1"/>
  <c r="K649" i="1"/>
  <c r="J601" i="1"/>
  <c r="K601" i="1"/>
  <c r="K561" i="1"/>
  <c r="J561" i="1"/>
  <c r="J521" i="1"/>
  <c r="K521" i="1"/>
  <c r="J481" i="1"/>
  <c r="K481" i="1"/>
  <c r="J449" i="1"/>
  <c r="K449" i="1"/>
  <c r="J417" i="1"/>
  <c r="K417" i="1"/>
  <c r="J377" i="1"/>
  <c r="K377" i="1"/>
  <c r="J329" i="1"/>
  <c r="K329" i="1"/>
  <c r="J289" i="1"/>
  <c r="K289" i="1"/>
  <c r="K241" i="1"/>
  <c r="J241" i="1"/>
  <c r="J201" i="1"/>
  <c r="K201" i="1"/>
  <c r="J161" i="1"/>
  <c r="K161" i="1"/>
  <c r="J121" i="1"/>
  <c r="K121" i="1"/>
  <c r="J81" i="1"/>
  <c r="K81" i="1"/>
  <c r="J49" i="1"/>
  <c r="K49" i="1"/>
  <c r="J984" i="1"/>
  <c r="K984" i="1"/>
  <c r="J944" i="1"/>
  <c r="K944" i="1"/>
  <c r="J912" i="1"/>
  <c r="K912" i="1"/>
  <c r="J864" i="1"/>
  <c r="K864" i="1"/>
  <c r="J824" i="1"/>
  <c r="K824" i="1"/>
  <c r="J792" i="1"/>
  <c r="K792" i="1"/>
  <c r="J752" i="1"/>
  <c r="K752" i="1"/>
  <c r="K704" i="1"/>
  <c r="J704" i="1"/>
  <c r="J656" i="1"/>
  <c r="K656" i="1"/>
  <c r="J616" i="1"/>
  <c r="K616" i="1"/>
  <c r="J568" i="1"/>
  <c r="K568" i="1"/>
  <c r="K536" i="1"/>
  <c r="J536" i="1"/>
  <c r="K472" i="1"/>
  <c r="J472" i="1"/>
  <c r="K974" i="1"/>
  <c r="J974" i="1"/>
  <c r="K942" i="1"/>
  <c r="J942" i="1"/>
  <c r="K910" i="1"/>
  <c r="J910" i="1"/>
  <c r="K878" i="1"/>
  <c r="J878" i="1"/>
  <c r="J854" i="1"/>
  <c r="K854" i="1"/>
  <c r="K830" i="1"/>
  <c r="J830" i="1"/>
  <c r="J806" i="1"/>
  <c r="K806" i="1"/>
  <c r="K782" i="1"/>
  <c r="J782" i="1"/>
  <c r="K750" i="1"/>
  <c r="J750" i="1"/>
  <c r="K726" i="1"/>
  <c r="J726" i="1"/>
  <c r="K694" i="1"/>
  <c r="J694" i="1"/>
  <c r="J662" i="1"/>
  <c r="K662" i="1"/>
  <c r="J638" i="1"/>
  <c r="K638" i="1"/>
  <c r="J614" i="1"/>
  <c r="K614" i="1"/>
  <c r="J598" i="1"/>
  <c r="K598" i="1"/>
  <c r="J574" i="1"/>
  <c r="K574" i="1"/>
  <c r="K550" i="1"/>
  <c r="J550" i="1"/>
  <c r="K526" i="1"/>
  <c r="J526" i="1"/>
  <c r="K502" i="1"/>
  <c r="J502" i="1"/>
  <c r="J470" i="1"/>
  <c r="K470" i="1"/>
  <c r="J454" i="1"/>
  <c r="K454" i="1"/>
  <c r="J430" i="1"/>
  <c r="K430" i="1"/>
  <c r="J406" i="1"/>
  <c r="K406" i="1"/>
  <c r="K374" i="1"/>
  <c r="J374" i="1"/>
  <c r="J350" i="1"/>
  <c r="K350" i="1"/>
  <c r="J326" i="1"/>
  <c r="K326" i="1"/>
  <c r="J302" i="1"/>
  <c r="K302" i="1"/>
  <c r="J278" i="1"/>
  <c r="K278" i="1"/>
  <c r="K246" i="1"/>
  <c r="J246" i="1"/>
  <c r="J222" i="1"/>
  <c r="K222" i="1"/>
  <c r="J198" i="1"/>
  <c r="K198" i="1"/>
  <c r="J174" i="1"/>
  <c r="K174" i="1"/>
  <c r="J150" i="1"/>
  <c r="K150" i="1"/>
  <c r="K118" i="1"/>
  <c r="J118" i="1"/>
  <c r="J22" i="1"/>
  <c r="K22" i="1"/>
  <c r="J995" i="1"/>
  <c r="K995" i="1"/>
  <c r="J987" i="1"/>
  <c r="K987" i="1"/>
  <c r="J979" i="1"/>
  <c r="K979" i="1"/>
  <c r="J971" i="1"/>
  <c r="K971" i="1"/>
  <c r="K963" i="1"/>
  <c r="J963" i="1"/>
  <c r="J955" i="1"/>
  <c r="K955" i="1"/>
  <c r="J947" i="1"/>
  <c r="K947" i="1"/>
  <c r="J939" i="1"/>
  <c r="K939" i="1"/>
  <c r="K931" i="1"/>
  <c r="J931" i="1"/>
  <c r="K923" i="1"/>
  <c r="J923" i="1"/>
  <c r="J994" i="1"/>
  <c r="K994" i="1"/>
  <c r="J986" i="1"/>
  <c r="K986" i="1"/>
  <c r="J978" i="1"/>
  <c r="K978" i="1"/>
  <c r="J970" i="1"/>
  <c r="K970" i="1"/>
  <c r="J962" i="1"/>
  <c r="K962" i="1"/>
  <c r="J954" i="1"/>
  <c r="K954" i="1"/>
  <c r="J946" i="1"/>
  <c r="K946" i="1"/>
  <c r="J938" i="1"/>
  <c r="K938" i="1"/>
  <c r="J930" i="1"/>
  <c r="K930" i="1"/>
  <c r="J922" i="1"/>
  <c r="K922" i="1"/>
  <c r="J914" i="1"/>
  <c r="K914" i="1"/>
  <c r="J906" i="1"/>
  <c r="K906" i="1"/>
  <c r="J898" i="1"/>
  <c r="K898" i="1"/>
  <c r="J890" i="1"/>
  <c r="K890" i="1"/>
  <c r="J882" i="1"/>
  <c r="K882" i="1"/>
  <c r="J874" i="1"/>
  <c r="K874" i="1"/>
  <c r="J866" i="1"/>
  <c r="K866" i="1"/>
  <c r="J858" i="1"/>
  <c r="K858" i="1"/>
  <c r="J850" i="1"/>
  <c r="K850" i="1"/>
  <c r="J842" i="1"/>
  <c r="K842" i="1"/>
  <c r="J834" i="1"/>
  <c r="K834" i="1"/>
  <c r="J826" i="1"/>
  <c r="K826" i="1"/>
  <c r="J818" i="1"/>
  <c r="K818" i="1"/>
  <c r="J810" i="1"/>
  <c r="K810" i="1"/>
  <c r="J802" i="1"/>
  <c r="K802" i="1"/>
  <c r="J794" i="1"/>
  <c r="K794" i="1"/>
  <c r="J786" i="1"/>
  <c r="K786" i="1"/>
  <c r="J778" i="1"/>
  <c r="K778" i="1"/>
  <c r="J770" i="1"/>
  <c r="K770" i="1"/>
  <c r="J762" i="1"/>
  <c r="K762" i="1"/>
  <c r="J754" i="1"/>
  <c r="K754" i="1"/>
  <c r="J746" i="1"/>
  <c r="K746" i="1"/>
  <c r="J738" i="1"/>
  <c r="K738" i="1"/>
  <c r="J730" i="1"/>
  <c r="K730" i="1"/>
  <c r="J722" i="1"/>
  <c r="K722" i="1"/>
  <c r="J714" i="1"/>
  <c r="K714" i="1"/>
  <c r="J706" i="1"/>
  <c r="K706" i="1"/>
  <c r="J698" i="1"/>
  <c r="K698" i="1"/>
  <c r="J690" i="1"/>
  <c r="K690" i="1"/>
  <c r="J682" i="1"/>
  <c r="K682" i="1"/>
  <c r="J674" i="1"/>
  <c r="K674" i="1"/>
  <c r="J666" i="1"/>
  <c r="K666" i="1"/>
  <c r="J658" i="1"/>
  <c r="K658" i="1"/>
  <c r="J650" i="1"/>
  <c r="K650" i="1"/>
  <c r="J642" i="1"/>
  <c r="K642" i="1"/>
  <c r="J634" i="1"/>
  <c r="K634" i="1"/>
  <c r="J626" i="1"/>
  <c r="K626" i="1"/>
  <c r="J618" i="1"/>
  <c r="K618" i="1"/>
  <c r="J610" i="1"/>
  <c r="K610" i="1"/>
  <c r="J602" i="1"/>
  <c r="K602" i="1"/>
  <c r="J594" i="1"/>
  <c r="K594" i="1"/>
  <c r="J586" i="1"/>
  <c r="K586" i="1"/>
  <c r="J578" i="1"/>
  <c r="K578" i="1"/>
  <c r="J570" i="1"/>
  <c r="K570" i="1"/>
  <c r="J562" i="1"/>
  <c r="K562" i="1"/>
  <c r="J554" i="1"/>
  <c r="K554" i="1"/>
  <c r="J546" i="1"/>
  <c r="K546" i="1"/>
  <c r="J538" i="1"/>
  <c r="K538" i="1"/>
  <c r="J530" i="1"/>
  <c r="K530" i="1"/>
  <c r="J522" i="1"/>
  <c r="K522" i="1"/>
  <c r="J514" i="1"/>
  <c r="K514" i="1"/>
  <c r="J506" i="1"/>
  <c r="K506" i="1"/>
  <c r="J498" i="1"/>
  <c r="K498" i="1"/>
  <c r="J490" i="1"/>
  <c r="K490" i="1"/>
  <c r="J482" i="1"/>
  <c r="K482" i="1"/>
  <c r="J474" i="1"/>
  <c r="K474" i="1"/>
  <c r="J466" i="1"/>
  <c r="K466" i="1"/>
  <c r="J458" i="1"/>
  <c r="K458" i="1"/>
  <c r="J450" i="1"/>
  <c r="K450" i="1"/>
  <c r="J442" i="1"/>
  <c r="K442" i="1"/>
  <c r="J434" i="1"/>
  <c r="K434" i="1"/>
  <c r="J426" i="1"/>
  <c r="K426" i="1"/>
  <c r="J418" i="1"/>
  <c r="K418" i="1"/>
  <c r="J410" i="1"/>
  <c r="K410" i="1"/>
  <c r="J402" i="1"/>
  <c r="K402" i="1"/>
  <c r="J394" i="1"/>
  <c r="K394" i="1"/>
  <c r="J386" i="1"/>
  <c r="K386" i="1"/>
  <c r="J378" i="1"/>
  <c r="K378" i="1"/>
  <c r="J370" i="1"/>
  <c r="K370" i="1"/>
  <c r="J362" i="1"/>
  <c r="K362" i="1"/>
  <c r="J354" i="1"/>
  <c r="K354" i="1"/>
  <c r="J346" i="1"/>
  <c r="K346" i="1"/>
  <c r="J338" i="1"/>
  <c r="K338" i="1"/>
  <c r="J330" i="1"/>
  <c r="K330" i="1"/>
  <c r="J322" i="1"/>
  <c r="K322" i="1"/>
  <c r="J314" i="1"/>
  <c r="K314" i="1"/>
  <c r="J306" i="1"/>
  <c r="K306" i="1"/>
  <c r="J298" i="1"/>
  <c r="K298" i="1"/>
  <c r="J290" i="1"/>
  <c r="K290" i="1"/>
  <c r="J282" i="1"/>
  <c r="K282" i="1"/>
  <c r="J274" i="1"/>
  <c r="K274" i="1"/>
  <c r="J266" i="1"/>
  <c r="K266" i="1"/>
  <c r="J258" i="1"/>
  <c r="K258" i="1"/>
  <c r="J250" i="1"/>
  <c r="K250" i="1"/>
  <c r="J242" i="1"/>
  <c r="K242" i="1"/>
  <c r="J234" i="1"/>
  <c r="K234" i="1"/>
  <c r="J226" i="1"/>
  <c r="K226" i="1"/>
  <c r="J218" i="1"/>
  <c r="K218" i="1"/>
  <c r="J210" i="1"/>
  <c r="K210" i="1"/>
  <c r="J202" i="1"/>
  <c r="K202" i="1"/>
  <c r="J194" i="1"/>
  <c r="K194" i="1"/>
  <c r="J186" i="1"/>
  <c r="K186" i="1"/>
  <c r="J178" i="1"/>
  <c r="K178" i="1"/>
  <c r="J170" i="1"/>
  <c r="K170" i="1"/>
  <c r="J162" i="1"/>
  <c r="K162" i="1"/>
  <c r="J154" i="1"/>
  <c r="K154" i="1"/>
  <c r="J146" i="1"/>
  <c r="K146" i="1"/>
  <c r="J138" i="1"/>
  <c r="K138" i="1"/>
  <c r="J130" i="1"/>
  <c r="K130" i="1"/>
  <c r="J122" i="1"/>
  <c r="K122" i="1"/>
  <c r="J114" i="1"/>
  <c r="K114" i="1"/>
  <c r="J106" i="1"/>
  <c r="K106" i="1"/>
  <c r="J98" i="1"/>
  <c r="K98" i="1"/>
  <c r="J90" i="1"/>
  <c r="K90" i="1"/>
  <c r="J82" i="1"/>
  <c r="K82" i="1"/>
  <c r="J74" i="1"/>
  <c r="K74" i="1"/>
  <c r="J66" i="1"/>
  <c r="K66" i="1"/>
  <c r="J58" i="1"/>
  <c r="K58" i="1"/>
  <c r="J50" i="1"/>
  <c r="K50" i="1"/>
  <c r="J42" i="1"/>
  <c r="K42" i="1"/>
  <c r="J34" i="1"/>
  <c r="K34" i="1"/>
  <c r="J26" i="1"/>
  <c r="K26" i="1"/>
  <c r="J18" i="1"/>
  <c r="K18" i="1"/>
  <c r="J10" i="1"/>
  <c r="K10" i="1"/>
  <c r="J41" i="1"/>
  <c r="K41" i="1"/>
  <c r="J33" i="1"/>
  <c r="K33" i="1"/>
  <c r="J25" i="1"/>
  <c r="K25" i="1"/>
  <c r="J17" i="1"/>
  <c r="K17" i="1"/>
  <c r="J9" i="1"/>
  <c r="K9" i="1"/>
  <c r="J8" i="1"/>
  <c r="K8" i="1"/>
  <c r="J7" i="1"/>
  <c r="K7" i="1"/>
  <c r="J6" i="1"/>
  <c r="K6" i="1"/>
  <c r="J5" i="1"/>
  <c r="K5" i="1"/>
  <c r="J4" i="1"/>
  <c r="K4" i="1"/>
  <c r="J3" i="1"/>
  <c r="K3" i="1"/>
  <c r="J2" i="1"/>
  <c r="K2" i="1"/>
</calcChain>
</file>

<file path=xl/sharedStrings.xml><?xml version="1.0" encoding="utf-8"?>
<sst xmlns="http://schemas.openxmlformats.org/spreadsheetml/2006/main" count="5037" uniqueCount="44">
  <si>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</si>
  <si>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</si>
  <si>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</si>
  <si>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</si>
  <si>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</si>
  <si>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</si>
  <si>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</si>
  <si>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</si>
  <si>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male</t>
  </si>
  <si>
    <t>group A</t>
  </si>
  <si>
    <t>high school</t>
  </si>
  <si>
    <t>standard</t>
  </si>
  <si>
    <t>completed</t>
  </si>
  <si>
    <t>female</t>
  </si>
  <si>
    <t>group D</t>
  </si>
  <si>
    <t>some high school</t>
  </si>
  <si>
    <t>free/reduced</t>
  </si>
  <si>
    <t>none</t>
  </si>
  <si>
    <t>group E</t>
  </si>
  <si>
    <t>some college</t>
  </si>
  <si>
    <t>group B</t>
  </si>
  <si>
    <t>associate's degree</t>
  </si>
  <si>
    <t>bachelor's degree</t>
  </si>
  <si>
    <t>group C</t>
  </si>
  <si>
    <t>master's degree</t>
  </si>
  <si>
    <t>Average Score</t>
  </si>
  <si>
    <t>Performance</t>
  </si>
  <si>
    <t>Result</t>
  </si>
  <si>
    <t>Row Labels</t>
  </si>
  <si>
    <t>Grand Total</t>
  </si>
  <si>
    <t>Good</t>
  </si>
  <si>
    <t>Pass</t>
  </si>
  <si>
    <t>Average</t>
  </si>
  <si>
    <t>Excellent</t>
  </si>
  <si>
    <t>Poor</t>
  </si>
  <si>
    <t>Fail</t>
  </si>
  <si>
    <t>Average of Average Score</t>
  </si>
  <si>
    <t>Count of Performance</t>
  </si>
  <si>
    <t>Count of Result</t>
  </si>
  <si>
    <t>1. Female students achieved higher average scores.</t>
  </si>
  <si>
    <t>2. Students who completed test preparation performed significantly better.</t>
  </si>
  <si>
    <t>3. Parent education level positively influenced student performance.</t>
  </si>
  <si>
    <t>4. Majority of students belong to the Good category.</t>
  </si>
  <si>
    <t>5. Pass percentage exceeded 90%.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</si>
</sst>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[Studens_performance_cleaned.xlsx]Gender Analysis!PivotTable3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0</c:formatCode>
                <c:ptCount val="2"/>
                <c:pt idx="0">
                  <c:v>69.231011710192107</c:v>
                </c:pt>
                <c:pt idx="1">
                  <c:v>66.671277318311667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3-4A41-99F2-77AFE781A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0541040"/>
        <c:axId val="1530542480"/>
      </c:barChart>
      <c:catAx>
        <c:axId val="153054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542480"/>
        <c:crosses val="autoZero"/>
        <c:auto val="1"/>
        <c:lblAlgn val="ctr"/>
        <c:lblOffset val="100"/>
        <c:noMultiLvlLbl val="0"/>
      </c:catAx>
      <c:valAx>
        <c:axId val="15305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54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[Studens_performance_cleaned.xlsx]Test Prep Analysis!PivotTable4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Prep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Prep Analysis'!$A$4:$A$6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 Analysis'!$B$4:$B$6</c:f>
              <c:numCache>
                <c:formatCode>0</c:formatCode>
                <c:ptCount val="2"/>
                <c:pt idx="0">
                  <c:v>72.823486519193665</c:v>
                </c:pt>
                <c:pt idx="1">
                  <c:v>65.483345787520022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B-492B-8887-C5B05E009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718528"/>
        <c:axId val="1562724768"/>
      </c:barChart>
      <c:catAx>
        <c:axId val="156271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724768"/>
        <c:crosses val="autoZero"/>
        <c:auto val="1"/>
        <c:lblAlgn val="ctr"/>
        <c:lblOffset val="100"/>
        <c:noMultiLvlLbl val="0"/>
      </c:catAx>
      <c:valAx>
        <c:axId val="15627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71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[Studens_performance_cleaned.xlsx]Parent Education Anaysis!PivotTable5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'Parent Education Anaysis'!$B$3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'Parent Education Anaysis'!$A$4:$A$10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'Parent Education Anaysis'!$B$4:$B$10</c:f>
              <c:numCache>
                <c:formatCode>0</c:formatCode>
                <c:ptCount val="6"/>
                <c:pt idx="0">
                  <c:v>70.042779509484802</c:v>
                </c:pt>
                <c:pt idx="1">
                  <c:v>73.254687886343959</c:v>
                </c:pt>
                <c:pt idx="2">
                  <c:v>66.268305014307387</c:v>
                </c:pt>
                <c:pt idx="3">
                  <c:v>73.507772496073187</c:v>
                </c:pt>
                <c:pt idx="4">
                  <c:v>67.071857874289392</c:v>
                </c:pt>
                <c:pt idx="5">
                  <c:v>63.288316052554642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E-46E1-B780-37983BC7B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941264"/>
        <c:axId val="1523943664"/>
      </c:barChart>
      <c:catAx>
        <c:axId val="15239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43664"/>
        <c:crosses val="autoZero"/>
        <c:auto val="1"/>
        <c:lblAlgn val="ctr"/>
        <c:lblOffset val="100"/>
        <c:noMultiLvlLbl val="0"/>
      </c:catAx>
      <c:valAx>
        <c:axId val="15239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[Studens_performance_cleaned.xlsx]Performance Distribution!PivotTable6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'Performance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4F-4772-ABDB-4A5FBA9F79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4F-4772-ABDB-4A5FBA9F79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4F-4772-ABDB-4A5FBA9F79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4F-4772-ABDB-4A5FBA9F798C}"/>
              </c:ext>
            </c:extLst>
          </c:dPt>
          <c:cat>
            <c:strRef>
              <c:f>'Performance Distribution'!$A$4:$A$8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'Performance Distribution'!$B$4:$B$8</c:f>
              <c:numCache>
                <c:formatCode>General</c:formatCode>
                <c:ptCount val="4"/>
                <c:pt idx="0">
                  <c:v>227</c:v>
                </c:pt>
                <c:pt idx="1">
                  <c:v>194</c:v>
                </c:pt>
                <c:pt idx="2">
                  <c:v>547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1-4205-82DA-1155794A1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[Studens_performance_cleaned.xlsx]Pass Fail Analysis!PivotTable7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'Pass Fail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D2-4D79-810C-B6633EFED9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D2-4D79-810C-B6633EFED992}"/>
              </c:ext>
            </c:extLst>
          </c:dPt>
          <c:cat>
            <c:strRef>
              <c:f>'Pass Fail Analysis'!$A$4:$A$6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'Pass Fail Analysis'!$B$4:$B$6</c:f>
              <c:numCache>
                <c:formatCode>General</c:formatCode>
                <c:ptCount val="2"/>
                <c:pt idx="0">
                  <c:v>30</c:v>
                </c:pt>
                <c:pt idx="1">
                  <c:v>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5-4BC2-9715-E665AF680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138112</xdr:rowOff>
    </xdr:from>
    <xdr:to>
      <xdr:col>11</xdr:col>
      <xdr:colOff>304800</xdr:colOff>
      <xdr:row>19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F198C6-6AD0-9029-E514-92F03E4D0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100012</xdr:rowOff>
    </xdr:from>
    <xdr:to>
      <xdr:col>11</xdr:col>
      <xdr:colOff>314325</xdr:colOff>
      <xdr:row>20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C1E78B-636E-8BC2-27BD-7A9F1210F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4</xdr:row>
      <xdr:rowOff>147637</xdr:rowOff>
    </xdr:from>
    <xdr:to>
      <xdr:col>11</xdr:col>
      <xdr:colOff>523875</xdr:colOff>
      <xdr:row>19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5962E-E8E0-1516-4809-3EC972261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5</xdr:row>
      <xdr:rowOff>23812</xdr:rowOff>
    </xdr:from>
    <xdr:to>
      <xdr:col>12</xdr:col>
      <xdr:colOff>76200</xdr:colOff>
      <xdr:row>19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D1DEDF-54A2-73E7-F12B-27AAE9425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5</xdr:row>
      <xdr:rowOff>4762</xdr:rowOff>
    </xdr:from>
    <xdr:to>
      <xdr:col>12</xdr:col>
      <xdr:colOff>295275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A64F97-02FC-7C46-A481-71C49A5AA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arsan Anand Kumar" refreshedDate="46178.499518287033" createdVersion="8" refreshedVersion="8" minRefreshableVersion="3" recordCount="999" xr:uid="{4453D085-275F-4C45-A6D0-DEC246B6A7FC}">
  <cacheSource type="worksheet">
    <worksheetSource name="Table1"/>
  </cacheSource>
  <cacheFields count="11">
    <cacheField name="gender" numFmtId="0">
      <sharedItems count="3">
        <s v="male"/>
        <s v="female"/>
        <s v="gender"/>
      </sharedItems>
    </cacheField>
    <cacheField name="race/ethnicity" numFmtId="0">
      <sharedItems/>
    </cacheField>
    <cacheField name="parental level of education" numFmtId="0">
      <sharedItems/>
    </cacheField>
    <cacheField name="lunch" numFmtId="0">
      <sharedItems/>
    </cacheField>
    <cacheField name="test preparation course" numFmtId="0">
      <sharedItems/>
    </cacheField>
    <cacheField name="math score" numFmtId="0">
      <sharedItems containsMixedTypes="1" containsNumber="1" minValue="13" maxValue="100"/>
    </cacheField>
    <cacheField name="reading score" numFmtId="0">
      <sharedItems containsMixedTypes="1" containsNumber="1" minValue="27" maxValue="100"/>
    </cacheField>
    <cacheField name="writing score" numFmtId="0">
      <sharedItems containsMixedTypes="1" containsNumber="1" minValue="23" maxValue="100"/>
    </cacheField>
    <cacheField name="Average Score" numFmtId="1">
      <sharedItems containsMixedTypes="1" containsNumber="1" minValue="21.666666666666668" maxValue="100" count="279">
        <n v="65.666666666666671"/>
        <n v="51.333333333333336"/>
        <n v="56.333333333333336"/>
        <n v="74.333333333333329"/>
        <n v="73"/>
        <n v="72"/>
        <n v="61.333333333333336"/>
        <n v="88.333333333333329"/>
        <n v="44.666666666666664"/>
        <n v="89"/>
        <n v="85.666666666666671"/>
        <n v="83"/>
        <n v="73.666666666666671"/>
        <n v="84.333333333333329"/>
        <n v="62.333333333333336"/>
        <n v="49"/>
        <n v="60.333333333333336"/>
        <n v="37"/>
        <n v="34"/>
        <n v="82.333333333333329"/>
        <n v="55"/>
        <n v="71"/>
        <n v="51"/>
        <n v="38.666666666666664"/>
        <n v="46"/>
        <n v="66.333333333333329"/>
        <n v="84"/>
        <n v="81"/>
        <n v="75"/>
        <n v="40"/>
        <n v="67"/>
        <n v="85.333333333333329"/>
        <n v="69.666666666666671"/>
        <n v="62"/>
        <n v="69.333333333333329"/>
        <n v="82.666666666666671"/>
        <n v="66"/>
        <n v="91.666666666666671"/>
        <n v="52.333333333333336"/>
        <n v="60"/>
        <n v="56.666666666666664"/>
        <n v="80"/>
        <n v="53.666666666666664"/>
        <n v="59.333333333333336"/>
        <n v="77"/>
        <n v="86"/>
        <n v="55.666666666666664"/>
        <n v="70"/>
        <n v="79"/>
        <n v="91"/>
        <n v="64.333333333333329"/>
        <n v="47.333333333333336"/>
        <n v="67.666666666666671"/>
        <n v="52"/>
        <n v="60.666666666666664"/>
        <n v="78.666666666666671"/>
        <n v="71.333333333333329"/>
        <n v="72.666666666666671"/>
        <n v="81.333333333333329"/>
        <n v="75.666666666666671"/>
        <n v="37.333333333333336"/>
        <n v="92.666666666666671"/>
        <n v="73.333333333333329"/>
        <n v="48.666666666666664"/>
        <n v="71.666666666666671"/>
        <n v="91.333333333333329"/>
        <n v="75.333333333333329"/>
        <n v="62.666666666666664"/>
        <n v="98.333333333333329"/>
        <n v="54"/>
        <n v="59"/>
        <n v="77.333333333333329"/>
        <n v="78"/>
        <n v="66.666666666666671"/>
        <n v="54.333333333333336"/>
        <n v="76.666666666666671"/>
        <n v="76.333333333333329"/>
        <n v="80.333333333333329"/>
        <n v="32"/>
        <n v="46.666666666666664"/>
        <n v="36.666666666666664"/>
        <n v="57.666666666666664"/>
        <n v="57"/>
        <n v="84.666666666666671"/>
        <n v="55.333333333333336"/>
        <n v="43"/>
        <n v="79.333333333333329"/>
        <n v="58"/>
        <n v="70.666666666666671"/>
        <n v="90.333333333333329"/>
        <n v="61.666666666666664"/>
        <n v="48.333333333333336"/>
        <n v="65.333333333333329"/>
        <n v="63.333333333333336"/>
        <n v="100"/>
        <n v="69"/>
        <n v="58.333333333333336"/>
        <n v="88.666666666666671"/>
        <n v="90"/>
        <n v="93"/>
        <n v="83.333333333333329"/>
        <n v="63"/>
        <n v="89.666666666666671"/>
        <n v="64.666666666666671"/>
        <n v="65"/>
        <n v="53"/>
        <n v="87.333333333333329"/>
        <n v="49.666666666666664"/>
        <n v="89.333333333333329"/>
        <n v="76"/>
        <n v="96.666666666666671"/>
        <n v="61"/>
        <n v="67.333333333333329"/>
        <n v="56"/>
        <n v="45"/>
        <n v="63.666666666666664"/>
        <n v="45.333333333333336"/>
        <n v="48"/>
        <n v="70.333333333333329"/>
        <n v="64"/>
        <n v="57.333333333333336"/>
        <n v="79.666666666666671"/>
        <n v="68.333333333333329"/>
        <n v="86.333333333333329"/>
        <n v="74"/>
        <n v="93.666666666666671"/>
        <n v="77.666666666666671"/>
        <n v="78.333333333333329"/>
        <n v="32.666666666666664"/>
        <n v="86.666666666666671"/>
        <n v="95.333333333333329"/>
        <n v="82"/>
        <n v="40.333333333333336"/>
        <n v="85"/>
        <n v="47.666666666666664"/>
        <n v="31.666666666666668"/>
        <n v="42.333333333333336"/>
        <n v="47"/>
        <n v="81.666666666666671"/>
        <n v="50.666666666666664"/>
        <n v="83.666666666666671"/>
        <n v="87"/>
        <n v="43.666666666666664"/>
        <n v="59.666666666666664"/>
        <n v="74.666666666666671"/>
        <n v="68.666666666666671"/>
        <n v="51.666666666666664"/>
        <n v="52.666666666666664"/>
        <n v="58.666666666666664"/>
        <n v="50"/>
        <n v="80.666666666666671"/>
        <n v="21.666666666666668"/>
        <n v="95"/>
        <n v="39"/>
        <n v="72.333333333333329"/>
        <n v="42.666666666666664"/>
        <n v="36.333333333333336"/>
        <n v="40.666666666666664"/>
        <n v="46.333333333333336"/>
        <n v="29.333333333333332"/>
        <n v="88"/>
        <n v="92"/>
        <n v="53.333333333333336"/>
        <n v="54.666666666666664"/>
        <n v="42"/>
        <n v="37.666666666666664"/>
        <n v="87.666666666666671"/>
        <n v="31.333333333333332"/>
        <n v="90.666666666666671"/>
        <n v="99"/>
        <n v="50.333333333333336"/>
        <n v="94"/>
        <n v="38"/>
        <n v="45.666666666666664"/>
        <n v="98"/>
        <n v="68"/>
        <n v="96.333333333333329"/>
        <n v="29.666666666666668"/>
        <n v="41"/>
        <n v="44"/>
        <n v="92.333333333333329"/>
        <n v="41.333333333333336"/>
        <n v="32.333333333333336"/>
        <n v="97"/>
        <n v="97.666666666666671"/>
        <n v="33.333333333333336"/>
        <n v="39.666666666666664"/>
        <n v="28.666666666666668"/>
        <n v="94.333333333333329"/>
        <n v="95.666666666666671"/>
        <n v="94.666666666666671"/>
        <n v="93.333333333333329"/>
        <n v="34.333333333333336"/>
        <e v="#DIV/0!"/>
        <n v="68.846148069500998"/>
        <n v="68.848307665828187"/>
        <n v="68.850467262155334"/>
        <n v="68.852626858482537"/>
        <n v="68.854786454809741"/>
        <n v="68.856946051136859"/>
        <n v="68.859105647464034"/>
        <n v="68.861265243791237"/>
        <n v="68.863424840118441"/>
        <n v="68.865584436445602"/>
        <n v="68.867744032772805"/>
        <n v="68.869903629099937"/>
        <n v="68.872063225427098"/>
        <n v="68.874222821754302"/>
        <n v="68.876382418081462"/>
        <n v="68.878542014408637"/>
        <n v="68.880701610735841"/>
        <n v="68.882861207063044"/>
        <n v="68.885020803390191"/>
        <n v="68.887180399717394"/>
        <n v="68.889339996044541"/>
        <n v="68.891499592371702"/>
        <n v="68.893659188698905"/>
        <n v="68.895818785026094"/>
        <n v="68.897978381353241"/>
        <n v="68.900137977680444"/>
        <n v="68.902297574007591"/>
        <n v="68.904457170334766"/>
        <n v="68.906616766661941"/>
        <n v="68.90877636298913"/>
        <n v="68.910935959316305"/>
        <n v="68.913095555643508"/>
        <n v="68.915255151970698"/>
        <n v="68.917414748297801"/>
        <n v="68.919574344625005"/>
        <n v="68.921733940952194"/>
        <n v="68.923893537279369"/>
        <n v="68.926053133606544"/>
        <n v="68.928212729933719"/>
        <n v="68.930372326260866"/>
        <n v="68.932531922588069"/>
        <n v="68.934691518915244"/>
        <n v="68.936851115242419"/>
        <n v="68.939010711569594"/>
        <n v="68.941170307896797"/>
        <n v="68.943329904224001"/>
        <n v="68.945489500551133"/>
        <n v="68.947649096878294"/>
        <n v="68.949808693205469"/>
        <n v="68.951968289532658"/>
        <n v="68.954127885859833"/>
        <n v="68.956287482187037"/>
        <n v="68.958447078514197"/>
        <n v="68.960606674841372"/>
        <n v="68.962766271168562"/>
        <n v="68.964925867495694"/>
        <n v="68.967085463822912"/>
        <n v="68.969245060150101"/>
        <n v="68.971404656477276"/>
        <n v="68.973564252804422"/>
        <n v="68.975723849131597"/>
        <n v="68.977883445458772"/>
        <n v="68.980043041785976"/>
        <n v="68.982202638113165"/>
        <n v="68.984362234440297"/>
        <n v="68.986521830767501"/>
        <n v="68.988681427094704"/>
        <n v="68.990841023421822"/>
        <n v="68.993000619748997"/>
        <n v="68.995160216076201"/>
        <n v="68.997319812403376"/>
        <n v="68.999479408730565"/>
        <n v="69.001639005057768"/>
        <n v="69.003798601384901"/>
        <n v="69.005958197712062"/>
        <n v="69.008117794039265"/>
        <n v="69.010277390366426"/>
        <n v="69.012436986693601"/>
        <n v="69.014596583020804"/>
        <n v="69.016756179348008"/>
        <n v="69.018915775675126"/>
        <n v="69.021075372002301"/>
        <n v="69.023234968329504"/>
        <n v="69.025394564656665"/>
        <n v="69.027554160983854"/>
      </sharedItems>
    </cacheField>
    <cacheField name="Performance" numFmtId="0">
      <sharedItems/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arsan Anand Kumar" refreshedDate="46178.513558564817" createdVersion="8" refreshedVersion="8" minRefreshableVersion="3" recordCount="1000" xr:uid="{EBD931E0-8CDF-4FBD-AEC9-1D18C795A674}">
  <cacheSource type="worksheet">
    <worksheetSource ref="A1:K1048576" sheet="Studens performance cleaned.xls"/>
  </cacheSource>
  <cacheFields count="11">
    <cacheField name="gender" numFmtId="0">
      <sharedItems containsBlank="1"/>
    </cacheField>
    <cacheField name="race/ethnicity" numFmtId="0">
      <sharedItems containsBlank="1"/>
    </cacheField>
    <cacheField name="parental level of education" numFmtId="0">
      <sharedItems containsBlank="1" count="8">
        <s v="high school"/>
        <s v="some high school"/>
        <s v="some college"/>
        <s v="associate's degree"/>
        <s v="bachelor's degree"/>
        <s v="master's degree"/>
        <s v="parental level of education"/>
        <m/>
      </sharedItems>
    </cacheField>
    <cacheField name="lunch" numFmtId="0">
      <sharedItems containsBlank="1"/>
    </cacheField>
    <cacheField name="test preparation course" numFmtId="0">
      <sharedItems containsBlank="1" count="4">
        <s v="completed"/>
        <s v="none"/>
        <s v="test preparation course"/>
        <m/>
      </sharedItems>
    </cacheField>
    <cacheField name="math score" numFmtId="0">
      <sharedItems containsBlank="1" containsMixedTypes="1" containsNumber="1" minValue="13" maxValue="100"/>
    </cacheField>
    <cacheField name="reading score" numFmtId="0">
      <sharedItems containsBlank="1" containsMixedTypes="1" containsNumber="1" minValue="27" maxValue="100"/>
    </cacheField>
    <cacheField name="writing score" numFmtId="0">
      <sharedItems containsBlank="1" containsMixedTypes="1" containsNumber="1" minValue="23" maxValue="100"/>
    </cacheField>
    <cacheField name="Average Score" numFmtId="1">
      <sharedItems containsBlank="1" containsMixedTypes="1" containsNumber="1" minValue="21.666666666666668" maxValue="100"/>
    </cacheField>
    <cacheField name="Performance" numFmtId="0">
      <sharedItems containsBlank="1" count="6">
        <s v="Good"/>
        <s v="Average"/>
        <s v="Excellent"/>
        <s v="Poor"/>
        <e v="#DIV/0!"/>
        <m/>
      </sharedItems>
    </cacheField>
    <cacheField name="Result" numFmtId="0">
      <sharedItems containsBlank="1" count="4">
        <s v="Pass"/>
        <s v="Fail"/>
        <e v="#DIV/0!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s v="group A"/>
    <s v="high school"/>
    <s v="standard"/>
    <s v="completed"/>
    <n v="67"/>
    <n v="67"/>
    <n v="63"/>
    <x v="0"/>
    <s v="Good"/>
    <s v="Pass"/>
  </r>
  <r>
    <x v="1"/>
    <s v="group D"/>
    <s v="some high school"/>
    <s v="free/reduced"/>
    <s v="none"/>
    <n v="40"/>
    <n v="59"/>
    <n v="55"/>
    <x v="1"/>
    <s v="Average"/>
    <s v="Pass"/>
  </r>
  <r>
    <x v="0"/>
    <s v="group E"/>
    <s v="some college"/>
    <s v="free/reduced"/>
    <s v="none"/>
    <n v="59"/>
    <n v="60"/>
    <n v="50"/>
    <x v="2"/>
    <s v="Average"/>
    <s v="Pass"/>
  </r>
  <r>
    <x v="0"/>
    <s v="group B"/>
    <s v="high school"/>
    <s v="standard"/>
    <s v="none"/>
    <n v="77"/>
    <n v="78"/>
    <n v="68"/>
    <x v="3"/>
    <s v="Good"/>
    <s v="Pass"/>
  </r>
  <r>
    <x v="0"/>
    <s v="group E"/>
    <s v="associate's degree"/>
    <s v="standard"/>
    <s v="completed"/>
    <n v="78"/>
    <n v="73"/>
    <n v="68"/>
    <x v="4"/>
    <s v="Good"/>
    <s v="Pass"/>
  </r>
  <r>
    <x v="1"/>
    <s v="group D"/>
    <s v="high school"/>
    <s v="standard"/>
    <s v="none"/>
    <n v="63"/>
    <n v="77"/>
    <n v="76"/>
    <x v="5"/>
    <s v="Good"/>
    <s v="Pass"/>
  </r>
  <r>
    <x v="1"/>
    <s v="group A"/>
    <s v="bachelor's degree"/>
    <s v="standard"/>
    <s v="none"/>
    <n v="62"/>
    <n v="59"/>
    <n v="63"/>
    <x v="6"/>
    <s v="Good"/>
    <s v="Pass"/>
  </r>
  <r>
    <x v="0"/>
    <s v="group E"/>
    <s v="some college"/>
    <s v="standard"/>
    <s v="completed"/>
    <n v="93"/>
    <n v="88"/>
    <n v="84"/>
    <x v="7"/>
    <s v="Excellent"/>
    <s v="Pass"/>
  </r>
  <r>
    <x v="0"/>
    <s v="group D"/>
    <s v="high school"/>
    <s v="standard"/>
    <s v="none"/>
    <n v="63"/>
    <n v="56"/>
    <n v="65"/>
    <x v="6"/>
    <s v="Good"/>
    <s v="Pass"/>
  </r>
  <r>
    <x v="0"/>
    <s v="group C"/>
    <s v="some college"/>
    <s v="free/reduced"/>
    <s v="none"/>
    <n v="47"/>
    <n v="42"/>
    <n v="45"/>
    <x v="8"/>
    <s v="Average"/>
    <s v="Pass"/>
  </r>
  <r>
    <x v="0"/>
    <s v="group E"/>
    <s v="some college"/>
    <s v="standard"/>
    <s v="completed"/>
    <n v="99"/>
    <n v="83"/>
    <n v="85"/>
    <x v="9"/>
    <s v="Excellent"/>
    <s v="Pass"/>
  </r>
  <r>
    <x v="1"/>
    <s v="group D"/>
    <s v="high school"/>
    <s v="standard"/>
    <s v="completed"/>
    <n v="80"/>
    <n v="87"/>
    <n v="90"/>
    <x v="10"/>
    <s v="Excellent"/>
    <s v="Pass"/>
  </r>
  <r>
    <x v="0"/>
    <s v="group D"/>
    <s v="associate's degree"/>
    <s v="standard"/>
    <s v="completed"/>
    <n v="77"/>
    <n v="87"/>
    <n v="85"/>
    <x v="11"/>
    <s v="Excellent"/>
    <s v="Pass"/>
  </r>
  <r>
    <x v="0"/>
    <s v="group C"/>
    <s v="high school"/>
    <s v="standard"/>
    <s v="completed"/>
    <n v="74"/>
    <n v="74"/>
    <n v="73"/>
    <x v="12"/>
    <s v="Good"/>
    <s v="Pass"/>
  </r>
  <r>
    <x v="0"/>
    <s v="group E"/>
    <s v="some high school"/>
    <s v="standard"/>
    <s v="completed"/>
    <n v="81"/>
    <n v="87"/>
    <n v="85"/>
    <x v="13"/>
    <s v="Excellent"/>
    <s v="Pass"/>
  </r>
  <r>
    <x v="0"/>
    <s v="group E"/>
    <s v="associate's degree"/>
    <s v="free/reduced"/>
    <s v="none"/>
    <n v="69"/>
    <n v="61"/>
    <n v="57"/>
    <x v="14"/>
    <s v="Good"/>
    <s v="Pass"/>
  </r>
  <r>
    <x v="0"/>
    <s v="group B"/>
    <s v="high school"/>
    <s v="standard"/>
    <s v="none"/>
    <n v="58"/>
    <n v="47"/>
    <n v="42"/>
    <x v="15"/>
    <s v="Average"/>
    <s v="Pass"/>
  </r>
  <r>
    <x v="1"/>
    <s v="group C"/>
    <s v="associate's degree"/>
    <s v="standard"/>
    <s v="completed"/>
    <n v="54"/>
    <n v="62"/>
    <n v="65"/>
    <x v="16"/>
    <s v="Good"/>
    <s v="Pass"/>
  </r>
  <r>
    <x v="1"/>
    <s v="group C"/>
    <s v="associate's degree"/>
    <s v="free/reduced"/>
    <s v="none"/>
    <n v="23"/>
    <n v="44"/>
    <n v="44"/>
    <x v="17"/>
    <s v="Poor"/>
    <s v="Fail"/>
  </r>
  <r>
    <x v="0"/>
    <s v="group C"/>
    <s v="some college"/>
    <s v="free/reduced"/>
    <s v="none"/>
    <n v="39"/>
    <n v="32"/>
    <n v="31"/>
    <x v="18"/>
    <s v="Poor"/>
    <s v="Fail"/>
  </r>
  <r>
    <x v="1"/>
    <s v="group C"/>
    <s v="associate's degree"/>
    <s v="standard"/>
    <s v="none"/>
    <n v="83"/>
    <n v="76"/>
    <n v="88"/>
    <x v="19"/>
    <s v="Excellent"/>
    <s v="Pass"/>
  </r>
  <r>
    <x v="0"/>
    <s v="group C"/>
    <s v="associate's degree"/>
    <s v="standard"/>
    <s v="none"/>
    <n v="58"/>
    <n v="52"/>
    <n v="55"/>
    <x v="20"/>
    <s v="Average"/>
    <s v="Pass"/>
  </r>
  <r>
    <x v="0"/>
    <s v="group B"/>
    <s v="some college"/>
    <s v="standard"/>
    <s v="completed"/>
    <n v="71"/>
    <n v="69"/>
    <n v="73"/>
    <x v="21"/>
    <s v="Good"/>
    <s v="Pass"/>
  </r>
  <r>
    <x v="1"/>
    <s v="group B"/>
    <s v="some college"/>
    <s v="free/reduced"/>
    <s v="none"/>
    <n v="44"/>
    <n v="55"/>
    <n v="54"/>
    <x v="22"/>
    <s v="Average"/>
    <s v="Pass"/>
  </r>
  <r>
    <x v="0"/>
    <s v="group E"/>
    <s v="some high school"/>
    <s v="free/reduced"/>
    <s v="none"/>
    <n v="46"/>
    <n v="38"/>
    <n v="32"/>
    <x v="23"/>
    <s v="Poor"/>
    <s v="Fail"/>
  </r>
  <r>
    <x v="0"/>
    <s v="group C"/>
    <s v="high school"/>
    <s v="free/reduced"/>
    <s v="none"/>
    <n v="51"/>
    <n v="45"/>
    <n v="42"/>
    <x v="24"/>
    <s v="Average"/>
    <s v="Pass"/>
  </r>
  <r>
    <x v="1"/>
    <s v="group C"/>
    <s v="some high school"/>
    <s v="standard"/>
    <s v="none"/>
    <n v="53"/>
    <n v="60"/>
    <n v="56"/>
    <x v="2"/>
    <s v="Average"/>
    <s v="Pass"/>
  </r>
  <r>
    <x v="0"/>
    <s v="group E"/>
    <s v="high school"/>
    <s v="standard"/>
    <s v="none"/>
    <n v="71"/>
    <n v="68"/>
    <n v="60"/>
    <x v="25"/>
    <s v="Good"/>
    <s v="Pass"/>
  </r>
  <r>
    <x v="1"/>
    <s v="group B"/>
    <s v="high school"/>
    <s v="standard"/>
    <s v="completed"/>
    <n v="74"/>
    <n v="89"/>
    <n v="89"/>
    <x v="26"/>
    <s v="Excellent"/>
    <s v="Pass"/>
  </r>
  <r>
    <x v="1"/>
    <s v="group A"/>
    <s v="some high school"/>
    <s v="free/reduced"/>
    <s v="none"/>
    <n v="33"/>
    <n v="54"/>
    <n v="51"/>
    <x v="24"/>
    <s v="Average"/>
    <s v="Pass"/>
  </r>
  <r>
    <x v="0"/>
    <s v="group B"/>
    <s v="some college"/>
    <s v="standard"/>
    <s v="none"/>
    <n v="87"/>
    <n v="79"/>
    <n v="77"/>
    <x v="27"/>
    <s v="Excellent"/>
    <s v="Pass"/>
  </r>
  <r>
    <x v="0"/>
    <s v="group A"/>
    <s v="bachelor's degree"/>
    <s v="free/reduced"/>
    <s v="none"/>
    <n v="78"/>
    <n v="74"/>
    <n v="73"/>
    <x v="28"/>
    <s v="Good"/>
    <s v="Pass"/>
  </r>
  <r>
    <x v="0"/>
    <s v="group A"/>
    <s v="some high school"/>
    <s v="free/reduced"/>
    <s v="completed"/>
    <n v="40"/>
    <n v="41"/>
    <n v="39"/>
    <x v="29"/>
    <s v="Average"/>
    <s v="Pass"/>
  </r>
  <r>
    <x v="1"/>
    <s v="group B"/>
    <s v="associate's degree"/>
    <s v="standard"/>
    <s v="completed"/>
    <n v="65"/>
    <n v="65"/>
    <n v="71"/>
    <x v="30"/>
    <s v="Good"/>
    <s v="Pass"/>
  </r>
  <r>
    <x v="1"/>
    <s v="group B"/>
    <s v="bachelor's degree"/>
    <s v="standard"/>
    <s v="completed"/>
    <n v="79"/>
    <n v="88"/>
    <n v="89"/>
    <x v="31"/>
    <s v="Excellent"/>
    <s v="Pass"/>
  </r>
  <r>
    <x v="1"/>
    <s v="group A"/>
    <s v="bachelor's degree"/>
    <s v="standard"/>
    <s v="none"/>
    <n v="68"/>
    <n v="74"/>
    <n v="74"/>
    <x v="5"/>
    <s v="Good"/>
    <s v="Pass"/>
  </r>
  <r>
    <x v="1"/>
    <s v="group C"/>
    <s v="some college"/>
    <s v="standard"/>
    <s v="completed"/>
    <n v="57"/>
    <n v="77"/>
    <n v="75"/>
    <x v="32"/>
    <s v="Good"/>
    <s v="Pass"/>
  </r>
  <r>
    <x v="0"/>
    <s v="group B"/>
    <s v="high school"/>
    <s v="free/reduced"/>
    <s v="none"/>
    <n v="67"/>
    <n v="65"/>
    <n v="54"/>
    <x v="33"/>
    <s v="Good"/>
    <s v="Pass"/>
  </r>
  <r>
    <x v="1"/>
    <s v="group B"/>
    <s v="some college"/>
    <s v="free/reduced"/>
    <s v="completed"/>
    <n v="58"/>
    <n v="68"/>
    <n v="73"/>
    <x v="25"/>
    <s v="Good"/>
    <s v="Pass"/>
  </r>
  <r>
    <x v="0"/>
    <s v="group E"/>
    <s v="associate's degree"/>
    <s v="standard"/>
    <s v="none"/>
    <n v="98"/>
    <n v="81"/>
    <n v="77"/>
    <x v="31"/>
    <s v="Excellent"/>
    <s v="Pass"/>
  </r>
  <r>
    <x v="1"/>
    <s v="group B"/>
    <s v="master's degree"/>
    <s v="free/reduced"/>
    <s v="none"/>
    <n v="54"/>
    <n v="75"/>
    <n v="72"/>
    <x v="30"/>
    <s v="Good"/>
    <s v="Pass"/>
  </r>
  <r>
    <x v="0"/>
    <s v="group D"/>
    <s v="high school"/>
    <s v="standard"/>
    <s v="none"/>
    <n v="77"/>
    <n v="67"/>
    <n v="64"/>
    <x v="34"/>
    <s v="Good"/>
    <s v="Pass"/>
  </r>
  <r>
    <x v="0"/>
    <s v="group E"/>
    <s v="high school"/>
    <s v="standard"/>
    <s v="completed"/>
    <n v="87"/>
    <n v="79"/>
    <n v="82"/>
    <x v="35"/>
    <s v="Excellent"/>
    <s v="Pass"/>
  </r>
  <r>
    <x v="1"/>
    <s v="group C"/>
    <s v="master's degree"/>
    <s v="standard"/>
    <s v="none"/>
    <n v="58"/>
    <n v="70"/>
    <n v="70"/>
    <x v="36"/>
    <s v="Good"/>
    <s v="Pass"/>
  </r>
  <r>
    <x v="0"/>
    <s v="group E"/>
    <s v="high school"/>
    <s v="standard"/>
    <s v="none"/>
    <n v="100"/>
    <n v="88"/>
    <n v="87"/>
    <x v="37"/>
    <s v="Excellent"/>
    <s v="Pass"/>
  </r>
  <r>
    <x v="0"/>
    <s v="group C"/>
    <s v="bachelor's degree"/>
    <s v="standard"/>
    <s v="none"/>
    <n v="60"/>
    <n v="46"/>
    <n v="51"/>
    <x v="38"/>
    <s v="Average"/>
    <s v="Pass"/>
  </r>
  <r>
    <x v="0"/>
    <s v="group C"/>
    <s v="associate's degree"/>
    <s v="free/reduced"/>
    <s v="none"/>
    <n v="64"/>
    <n v="63"/>
    <n v="57"/>
    <x v="6"/>
    <s v="Good"/>
    <s v="Pass"/>
  </r>
  <r>
    <x v="1"/>
    <s v="group E"/>
    <s v="some high school"/>
    <s v="standard"/>
    <s v="completed"/>
    <n v="65"/>
    <n v="76"/>
    <n v="78"/>
    <x v="4"/>
    <s v="Good"/>
    <s v="Pass"/>
  </r>
  <r>
    <x v="1"/>
    <s v="group D"/>
    <s v="high school"/>
    <s v="standard"/>
    <s v="none"/>
    <n v="68"/>
    <n v="72"/>
    <n v="73"/>
    <x v="21"/>
    <s v="Good"/>
    <s v="Pass"/>
  </r>
  <r>
    <x v="0"/>
    <s v="group C"/>
    <s v="associate's degree"/>
    <s v="free/reduced"/>
    <s v="completed"/>
    <n v="60"/>
    <n v="63"/>
    <n v="57"/>
    <x v="39"/>
    <s v="Good"/>
    <s v="Pass"/>
  </r>
  <r>
    <x v="0"/>
    <s v="group D"/>
    <s v="high school"/>
    <s v="standard"/>
    <s v="none"/>
    <n v="65"/>
    <n v="68"/>
    <n v="64"/>
    <x v="0"/>
    <s v="Good"/>
    <s v="Pass"/>
  </r>
  <r>
    <x v="1"/>
    <s v="group C"/>
    <s v="some high school"/>
    <s v="free/reduced"/>
    <s v="none"/>
    <n v="52"/>
    <n v="58"/>
    <n v="60"/>
    <x v="40"/>
    <s v="Average"/>
    <s v="Pass"/>
  </r>
  <r>
    <x v="1"/>
    <s v="group C"/>
    <s v="associate's degree"/>
    <s v="standard"/>
    <s v="none"/>
    <n v="74"/>
    <n v="81"/>
    <n v="85"/>
    <x v="41"/>
    <s v="Excellent"/>
    <s v="Pass"/>
  </r>
  <r>
    <x v="1"/>
    <s v="group C"/>
    <s v="high school"/>
    <s v="free/reduced"/>
    <s v="none"/>
    <n v="36"/>
    <n v="53"/>
    <n v="49"/>
    <x v="24"/>
    <s v="Average"/>
    <s v="Pass"/>
  </r>
  <r>
    <x v="0"/>
    <s v="group D"/>
    <s v="high school"/>
    <s v="free/reduced"/>
    <s v="none"/>
    <n v="57"/>
    <n v="57"/>
    <n v="47"/>
    <x v="42"/>
    <s v="Average"/>
    <s v="Pass"/>
  </r>
  <r>
    <x v="1"/>
    <s v="group C"/>
    <s v="some college"/>
    <s v="standard"/>
    <s v="completed"/>
    <n v="56"/>
    <n v="60"/>
    <n v="62"/>
    <x v="43"/>
    <s v="Average"/>
    <s v="Pass"/>
  </r>
  <r>
    <x v="1"/>
    <s v="group C"/>
    <s v="bachelor's degree"/>
    <s v="standard"/>
    <s v="completed"/>
    <n v="67"/>
    <n v="80"/>
    <n v="84"/>
    <x v="44"/>
    <s v="Good"/>
    <s v="Pass"/>
  </r>
  <r>
    <x v="0"/>
    <s v="group D"/>
    <s v="associate's degree"/>
    <s v="standard"/>
    <s v="completed"/>
    <n v="88"/>
    <n v="87"/>
    <n v="83"/>
    <x v="45"/>
    <s v="Excellent"/>
    <s v="Pass"/>
  </r>
  <r>
    <x v="1"/>
    <s v="group D"/>
    <s v="some college"/>
    <s v="free/reduced"/>
    <s v="none"/>
    <n v="42"/>
    <n v="61"/>
    <n v="51"/>
    <x v="1"/>
    <s v="Average"/>
    <s v="Pass"/>
  </r>
  <r>
    <x v="0"/>
    <s v="group E"/>
    <s v="some high school"/>
    <s v="standard"/>
    <s v="none"/>
    <n v="68"/>
    <n v="51"/>
    <n v="48"/>
    <x v="46"/>
    <s v="Average"/>
    <s v="Pass"/>
  </r>
  <r>
    <x v="0"/>
    <s v="group D"/>
    <s v="some college"/>
    <s v="free/reduced"/>
    <s v="none"/>
    <n v="76"/>
    <n v="66"/>
    <n v="68"/>
    <x v="47"/>
    <s v="Good"/>
    <s v="Pass"/>
  </r>
  <r>
    <x v="1"/>
    <s v="group E"/>
    <s v="some high school"/>
    <s v="standard"/>
    <s v="none"/>
    <n v="58"/>
    <n v="63"/>
    <n v="59"/>
    <x v="39"/>
    <s v="Good"/>
    <s v="Pass"/>
  </r>
  <r>
    <x v="0"/>
    <s v="group E"/>
    <s v="some high school"/>
    <s v="standard"/>
    <s v="completed"/>
    <n v="69"/>
    <n v="67"/>
    <n v="62"/>
    <x v="36"/>
    <s v="Good"/>
    <s v="Pass"/>
  </r>
  <r>
    <x v="0"/>
    <s v="group A"/>
    <s v="bachelor's degree"/>
    <s v="standard"/>
    <s v="completed"/>
    <n v="77"/>
    <n v="82"/>
    <n v="78"/>
    <x v="48"/>
    <s v="Good"/>
    <s v="Pass"/>
  </r>
  <r>
    <x v="0"/>
    <s v="group D"/>
    <s v="master's degree"/>
    <s v="standard"/>
    <s v="completed"/>
    <n v="83"/>
    <n v="93"/>
    <n v="97"/>
    <x v="49"/>
    <s v="Excellent"/>
    <s v="Pass"/>
  </r>
  <r>
    <x v="1"/>
    <s v="group C"/>
    <s v="some high school"/>
    <s v="free/reduced"/>
    <s v="completed"/>
    <n v="49"/>
    <n v="74"/>
    <n v="70"/>
    <x v="50"/>
    <s v="Good"/>
    <s v="Pass"/>
  </r>
  <r>
    <x v="0"/>
    <s v="group C"/>
    <s v="high school"/>
    <s v="standard"/>
    <s v="none"/>
    <n v="71"/>
    <n v="60"/>
    <n v="56"/>
    <x v="14"/>
    <s v="Good"/>
    <s v="Pass"/>
  </r>
  <r>
    <x v="1"/>
    <s v="group D"/>
    <s v="some high school"/>
    <s v="free/reduced"/>
    <s v="none"/>
    <n v="47"/>
    <n v="46"/>
    <n v="49"/>
    <x v="51"/>
    <s v="Average"/>
    <s v="Pass"/>
  </r>
  <r>
    <x v="0"/>
    <s v="group B"/>
    <s v="high school"/>
    <s v="standard"/>
    <s v="none"/>
    <n v="79"/>
    <n v="64"/>
    <n v="60"/>
    <x v="52"/>
    <s v="Good"/>
    <s v="Pass"/>
  </r>
  <r>
    <x v="1"/>
    <s v="group C"/>
    <s v="high school"/>
    <s v="standard"/>
    <s v="none"/>
    <n v="60"/>
    <n v="64"/>
    <n v="57"/>
    <x v="16"/>
    <s v="Good"/>
    <s v="Pass"/>
  </r>
  <r>
    <x v="1"/>
    <s v="group C"/>
    <s v="associate's degree"/>
    <s v="standard"/>
    <s v="completed"/>
    <n v="56"/>
    <n v="68"/>
    <n v="73"/>
    <x v="0"/>
    <s v="Good"/>
    <s v="Pass"/>
  </r>
  <r>
    <x v="0"/>
    <s v="group C"/>
    <s v="associate's degree"/>
    <s v="standard"/>
    <s v="none"/>
    <n v="57"/>
    <n v="52"/>
    <n v="47"/>
    <x v="53"/>
    <s v="Average"/>
    <s v="Pass"/>
  </r>
  <r>
    <x v="1"/>
    <s v="group B"/>
    <s v="some college"/>
    <s v="standard"/>
    <s v="none"/>
    <n v="49"/>
    <n v="70"/>
    <n v="63"/>
    <x v="54"/>
    <s v="Good"/>
    <s v="Pass"/>
  </r>
  <r>
    <x v="1"/>
    <s v="group C"/>
    <s v="some high school"/>
    <s v="standard"/>
    <s v="completed"/>
    <n v="79"/>
    <n v="76"/>
    <n v="81"/>
    <x v="55"/>
    <s v="Good"/>
    <s v="Pass"/>
  </r>
  <r>
    <x v="0"/>
    <s v="group B"/>
    <s v="master's degree"/>
    <s v="free/reduced"/>
    <s v="none"/>
    <n v="71"/>
    <n v="76"/>
    <n v="67"/>
    <x v="56"/>
    <s v="Good"/>
    <s v="Pass"/>
  </r>
  <r>
    <x v="1"/>
    <s v="group C"/>
    <s v="high school"/>
    <s v="standard"/>
    <s v="none"/>
    <n v="71"/>
    <n v="77"/>
    <n v="70"/>
    <x v="57"/>
    <s v="Good"/>
    <s v="Pass"/>
  </r>
  <r>
    <x v="1"/>
    <s v="group C"/>
    <s v="some college"/>
    <s v="standard"/>
    <s v="none"/>
    <n v="47"/>
    <n v="63"/>
    <n v="59"/>
    <x v="2"/>
    <s v="Average"/>
    <s v="Pass"/>
  </r>
  <r>
    <x v="1"/>
    <s v="group D"/>
    <s v="high school"/>
    <s v="free/reduced"/>
    <s v="none"/>
    <n v="72"/>
    <n v="91"/>
    <n v="81"/>
    <x v="58"/>
    <s v="Excellent"/>
    <s v="Pass"/>
  </r>
  <r>
    <x v="0"/>
    <s v="group C"/>
    <s v="associate's degree"/>
    <s v="standard"/>
    <s v="none"/>
    <n v="78"/>
    <n v="73"/>
    <n v="76"/>
    <x v="59"/>
    <s v="Good"/>
    <s v="Pass"/>
  </r>
  <r>
    <x v="0"/>
    <s v="group D"/>
    <s v="some high school"/>
    <s v="standard"/>
    <s v="none"/>
    <n v="54"/>
    <n v="43"/>
    <n v="45"/>
    <x v="51"/>
    <s v="Average"/>
    <s v="Pass"/>
  </r>
  <r>
    <x v="1"/>
    <s v="group B"/>
    <s v="bachelor's degree"/>
    <s v="standard"/>
    <s v="none"/>
    <n v="46"/>
    <n v="59"/>
    <n v="62"/>
    <x v="46"/>
    <s v="Average"/>
    <s v="Pass"/>
  </r>
  <r>
    <x v="1"/>
    <s v="group D"/>
    <s v="some high school"/>
    <s v="free/reduced"/>
    <s v="none"/>
    <n v="31"/>
    <n v="38"/>
    <n v="42"/>
    <x v="17"/>
    <s v="Poor"/>
    <s v="Fail"/>
  </r>
  <r>
    <x v="1"/>
    <s v="group C"/>
    <s v="associate's degree"/>
    <s v="free/reduced"/>
    <s v="none"/>
    <n v="51"/>
    <n v="59"/>
    <n v="59"/>
    <x v="2"/>
    <s v="Average"/>
    <s v="Pass"/>
  </r>
  <r>
    <x v="0"/>
    <s v="group B"/>
    <s v="high school"/>
    <s v="standard"/>
    <s v="completed"/>
    <n v="78"/>
    <n v="76"/>
    <n v="73"/>
    <x v="59"/>
    <s v="Good"/>
    <s v="Pass"/>
  </r>
  <r>
    <x v="1"/>
    <s v="group B"/>
    <s v="associate's degree"/>
    <s v="free/reduced"/>
    <s v="none"/>
    <n v="32"/>
    <n v="41"/>
    <n v="39"/>
    <x v="60"/>
    <s v="Poor"/>
    <s v="Fail"/>
  </r>
  <r>
    <x v="1"/>
    <s v="group C"/>
    <s v="some high school"/>
    <s v="standard"/>
    <s v="none"/>
    <n v="53"/>
    <n v="71"/>
    <n v="69"/>
    <x v="50"/>
    <s v="Good"/>
    <s v="Pass"/>
  </r>
  <r>
    <x v="1"/>
    <s v="group C"/>
    <s v="some college"/>
    <s v="free/reduced"/>
    <s v="none"/>
    <n v="63"/>
    <n v="76"/>
    <n v="69"/>
    <x v="34"/>
    <s v="Good"/>
    <s v="Pass"/>
  </r>
  <r>
    <x v="0"/>
    <s v="group D"/>
    <s v="some college"/>
    <s v="standard"/>
    <s v="none"/>
    <n v="97"/>
    <n v="93"/>
    <n v="88"/>
    <x v="61"/>
    <s v="Excellent"/>
    <s v="Pass"/>
  </r>
  <r>
    <x v="1"/>
    <s v="group D"/>
    <s v="some college"/>
    <s v="standard"/>
    <s v="none"/>
    <n v="56"/>
    <n v="52"/>
    <n v="61"/>
    <x v="2"/>
    <s v="Average"/>
    <s v="Pass"/>
  </r>
  <r>
    <x v="0"/>
    <s v="group B"/>
    <s v="high school"/>
    <s v="standard"/>
    <s v="none"/>
    <n v="72"/>
    <n v="76"/>
    <n v="72"/>
    <x v="62"/>
    <s v="Good"/>
    <s v="Pass"/>
  </r>
  <r>
    <x v="0"/>
    <s v="group C"/>
    <s v="some college"/>
    <s v="free/reduced"/>
    <s v="none"/>
    <n v="57"/>
    <n v="47"/>
    <n v="42"/>
    <x v="63"/>
    <s v="Average"/>
    <s v="Pass"/>
  </r>
  <r>
    <x v="0"/>
    <s v="group B"/>
    <s v="some high school"/>
    <s v="standard"/>
    <s v="none"/>
    <n v="74"/>
    <n v="71"/>
    <n v="70"/>
    <x v="64"/>
    <s v="Good"/>
    <s v="Pass"/>
  </r>
  <r>
    <x v="1"/>
    <s v="group D"/>
    <s v="master's degree"/>
    <s v="standard"/>
    <s v="none"/>
    <n v="81"/>
    <n v="81"/>
    <n v="87"/>
    <x v="11"/>
    <s v="Excellent"/>
    <s v="Pass"/>
  </r>
  <r>
    <x v="0"/>
    <s v="group D"/>
    <s v="bachelor's degree"/>
    <s v="standard"/>
    <s v="completed"/>
    <n v="94"/>
    <n v="87"/>
    <n v="93"/>
    <x v="65"/>
    <s v="Excellent"/>
    <s v="Pass"/>
  </r>
  <r>
    <x v="0"/>
    <s v="group B"/>
    <s v="master's degree"/>
    <s v="free/reduced"/>
    <s v="none"/>
    <n v="81"/>
    <n v="73"/>
    <n v="72"/>
    <x v="66"/>
    <s v="Good"/>
    <s v="Pass"/>
  </r>
  <r>
    <x v="1"/>
    <s v="group C"/>
    <s v="high school"/>
    <s v="standard"/>
    <s v="completed"/>
    <n v="58"/>
    <n v="63"/>
    <n v="67"/>
    <x v="67"/>
    <s v="Good"/>
    <s v="Pass"/>
  </r>
  <r>
    <x v="1"/>
    <s v="group E"/>
    <s v="associate's degree"/>
    <s v="standard"/>
    <s v="completed"/>
    <n v="95"/>
    <n v="100"/>
    <n v="100"/>
    <x v="68"/>
    <s v="Excellent"/>
    <s v="Pass"/>
  </r>
  <r>
    <x v="0"/>
    <s v="group B"/>
    <s v="high school"/>
    <s v="free/reduced"/>
    <s v="none"/>
    <n v="45"/>
    <n v="52"/>
    <n v="49"/>
    <x v="63"/>
    <s v="Average"/>
    <s v="Pass"/>
  </r>
  <r>
    <x v="0"/>
    <s v="group A"/>
    <s v="some college"/>
    <s v="standard"/>
    <s v="none"/>
    <n v="63"/>
    <n v="50"/>
    <n v="49"/>
    <x v="69"/>
    <s v="Average"/>
    <s v="Pass"/>
  </r>
  <r>
    <x v="0"/>
    <s v="group B"/>
    <s v="associate's degree"/>
    <s v="standard"/>
    <s v="none"/>
    <n v="60"/>
    <n v="54"/>
    <n v="53"/>
    <x v="46"/>
    <s v="Average"/>
    <s v="Pass"/>
  </r>
  <r>
    <x v="0"/>
    <s v="group C"/>
    <s v="some college"/>
    <s v="free/reduced"/>
    <s v="completed"/>
    <n v="54"/>
    <n v="61"/>
    <n v="62"/>
    <x v="70"/>
    <s v="Average"/>
    <s v="Pass"/>
  </r>
  <r>
    <x v="0"/>
    <s v="group C"/>
    <s v="some college"/>
    <s v="standard"/>
    <s v="completed"/>
    <n v="75"/>
    <n v="78"/>
    <n v="79"/>
    <x v="71"/>
    <s v="Good"/>
    <s v="Pass"/>
  </r>
  <r>
    <x v="0"/>
    <s v="group E"/>
    <s v="high school"/>
    <s v="standard"/>
    <s v="none"/>
    <n v="79"/>
    <n v="78"/>
    <n v="77"/>
    <x v="72"/>
    <s v="Good"/>
    <s v="Pass"/>
  </r>
  <r>
    <x v="0"/>
    <s v="group D"/>
    <s v="high school"/>
    <s v="standard"/>
    <s v="none"/>
    <n v="66"/>
    <n v="67"/>
    <n v="67"/>
    <x v="73"/>
    <s v="Good"/>
    <s v="Pass"/>
  </r>
  <r>
    <x v="1"/>
    <s v="group B"/>
    <s v="some college"/>
    <s v="standard"/>
    <s v="none"/>
    <n v="47"/>
    <n v="58"/>
    <n v="58"/>
    <x v="74"/>
    <s v="Average"/>
    <s v="Pass"/>
  </r>
  <r>
    <x v="1"/>
    <s v="group D"/>
    <s v="bachelor's degree"/>
    <s v="standard"/>
    <s v="none"/>
    <n v="70"/>
    <n v="78"/>
    <n v="82"/>
    <x v="75"/>
    <s v="Good"/>
    <s v="Pass"/>
  </r>
  <r>
    <x v="0"/>
    <s v="group D"/>
    <s v="high school"/>
    <s v="standard"/>
    <s v="none"/>
    <n v="82"/>
    <n v="74"/>
    <n v="73"/>
    <x v="76"/>
    <s v="Good"/>
    <s v="Pass"/>
  </r>
  <r>
    <x v="0"/>
    <s v="group A"/>
    <s v="bachelor's degree"/>
    <s v="standard"/>
    <s v="none"/>
    <n v="56"/>
    <n v="38"/>
    <n v="44"/>
    <x v="24"/>
    <s v="Average"/>
    <s v="Pass"/>
  </r>
  <r>
    <x v="0"/>
    <s v="group B"/>
    <s v="associate's degree"/>
    <s v="standard"/>
    <s v="none"/>
    <n v="92"/>
    <n v="78"/>
    <n v="71"/>
    <x v="77"/>
    <s v="Excellent"/>
    <s v="Pass"/>
  </r>
  <r>
    <x v="0"/>
    <s v="group C"/>
    <s v="some college"/>
    <s v="free/reduced"/>
    <s v="none"/>
    <n v="30"/>
    <n v="33"/>
    <n v="33"/>
    <x v="78"/>
    <s v="Poor"/>
    <s v="Fail"/>
  </r>
  <r>
    <x v="1"/>
    <s v="group C"/>
    <s v="some college"/>
    <s v="standard"/>
    <s v="completed"/>
    <n v="79"/>
    <n v="88"/>
    <n v="86"/>
    <x v="13"/>
    <s v="Excellent"/>
    <s v="Pass"/>
  </r>
  <r>
    <x v="1"/>
    <s v="group D"/>
    <s v="some high school"/>
    <s v="standard"/>
    <s v="none"/>
    <n v="41"/>
    <n v="52"/>
    <n v="47"/>
    <x v="79"/>
    <s v="Average"/>
    <s v="Pass"/>
  </r>
  <r>
    <x v="1"/>
    <s v="group C"/>
    <s v="master's degree"/>
    <s v="standard"/>
    <s v="none"/>
    <n v="63"/>
    <n v="82"/>
    <n v="71"/>
    <x v="5"/>
    <s v="Good"/>
    <s v="Pass"/>
  </r>
  <r>
    <x v="0"/>
    <s v="group A"/>
    <s v="bachelor's degree"/>
    <s v="free/reduced"/>
    <s v="none"/>
    <n v="43"/>
    <n v="34"/>
    <n v="33"/>
    <x v="80"/>
    <s v="Poor"/>
    <s v="Fail"/>
  </r>
  <r>
    <x v="0"/>
    <s v="group D"/>
    <s v="high school"/>
    <s v="standard"/>
    <s v="none"/>
    <n v="77"/>
    <n v="76"/>
    <n v="74"/>
    <x v="59"/>
    <s v="Good"/>
    <s v="Pass"/>
  </r>
  <r>
    <x v="0"/>
    <s v="group B"/>
    <s v="associate's degree"/>
    <s v="standard"/>
    <s v="completed"/>
    <n v="76"/>
    <n v="79"/>
    <n v="76"/>
    <x v="44"/>
    <s v="Good"/>
    <s v="Pass"/>
  </r>
  <r>
    <x v="1"/>
    <s v="group E"/>
    <s v="some college"/>
    <s v="free/reduced"/>
    <s v="none"/>
    <n v="49"/>
    <n v="61"/>
    <n v="63"/>
    <x v="81"/>
    <s v="Average"/>
    <s v="Pass"/>
  </r>
  <r>
    <x v="0"/>
    <s v="group C"/>
    <s v="associate's degree"/>
    <s v="standard"/>
    <s v="completed"/>
    <n v="59"/>
    <n v="57"/>
    <n v="55"/>
    <x v="82"/>
    <s v="Average"/>
    <s v="Pass"/>
  </r>
  <r>
    <x v="0"/>
    <s v="group B"/>
    <s v="bachelor's degree"/>
    <s v="free/reduced"/>
    <s v="none"/>
    <n v="59"/>
    <n v="70"/>
    <n v="58"/>
    <x v="14"/>
    <s v="Good"/>
    <s v="Pass"/>
  </r>
  <r>
    <x v="1"/>
    <s v="group D"/>
    <s v="some high school"/>
    <s v="standard"/>
    <s v="completed"/>
    <n v="76"/>
    <n v="90"/>
    <n v="87"/>
    <x v="13"/>
    <s v="Excellent"/>
    <s v="Pass"/>
  </r>
  <r>
    <x v="1"/>
    <s v="group C"/>
    <s v="high school"/>
    <s v="standard"/>
    <s v="completed"/>
    <n v="55"/>
    <n v="71"/>
    <n v="71"/>
    <x v="0"/>
    <s v="Good"/>
    <s v="Pass"/>
  </r>
  <r>
    <x v="1"/>
    <s v="group D"/>
    <s v="bachelor's degree"/>
    <s v="standard"/>
    <s v="completed"/>
    <n v="78"/>
    <n v="87"/>
    <n v="89"/>
    <x v="83"/>
    <s v="Excellent"/>
    <s v="Pass"/>
  </r>
  <r>
    <x v="1"/>
    <s v="group C"/>
    <s v="bachelor's degree"/>
    <s v="standard"/>
    <s v="completed"/>
    <n v="51"/>
    <n v="53"/>
    <n v="62"/>
    <x v="84"/>
    <s v="Average"/>
    <s v="Pass"/>
  </r>
  <r>
    <x v="1"/>
    <s v="group C"/>
    <s v="some high school"/>
    <s v="standard"/>
    <s v="completed"/>
    <n v="41"/>
    <n v="43"/>
    <n v="45"/>
    <x v="85"/>
    <s v="Average"/>
    <s v="Pass"/>
  </r>
  <r>
    <x v="1"/>
    <s v="group D"/>
    <s v="associate's degree"/>
    <s v="standard"/>
    <s v="none"/>
    <n v="74"/>
    <n v="78"/>
    <n v="86"/>
    <x v="86"/>
    <s v="Good"/>
    <s v="Pass"/>
  </r>
  <r>
    <x v="0"/>
    <s v="group C"/>
    <s v="master's degree"/>
    <s v="standard"/>
    <s v="none"/>
    <n v="62"/>
    <n v="54"/>
    <n v="58"/>
    <x v="87"/>
    <s v="Average"/>
    <s v="Pass"/>
  </r>
  <r>
    <x v="0"/>
    <s v="group D"/>
    <s v="associate's degree"/>
    <s v="standard"/>
    <s v="none"/>
    <n v="77"/>
    <n v="71"/>
    <n v="64"/>
    <x v="88"/>
    <s v="Good"/>
    <s v="Pass"/>
  </r>
  <r>
    <x v="0"/>
    <s v="group C"/>
    <s v="some high school"/>
    <s v="standard"/>
    <s v="none"/>
    <n v="45"/>
    <n v="52"/>
    <n v="45"/>
    <x v="51"/>
    <s v="Average"/>
    <s v="Pass"/>
  </r>
  <r>
    <x v="0"/>
    <s v="group E"/>
    <s v="some college"/>
    <s v="standard"/>
    <s v="completed"/>
    <n v="100"/>
    <n v="84"/>
    <n v="87"/>
    <x v="89"/>
    <s v="Excellent"/>
    <s v="Pass"/>
  </r>
  <r>
    <x v="1"/>
    <s v="group D"/>
    <s v="associate's degree"/>
    <s v="free/reduced"/>
    <s v="completed"/>
    <n v="83"/>
    <n v="95"/>
    <n v="100"/>
    <x v="61"/>
    <s v="Excellent"/>
    <s v="Pass"/>
  </r>
  <r>
    <x v="1"/>
    <s v="group E"/>
    <s v="associate's degree"/>
    <s v="free/reduced"/>
    <s v="completed"/>
    <n v="77"/>
    <n v="75"/>
    <n v="82"/>
    <x v="72"/>
    <s v="Good"/>
    <s v="Pass"/>
  </r>
  <r>
    <x v="0"/>
    <s v="group C"/>
    <s v="high school"/>
    <s v="standard"/>
    <s v="completed"/>
    <n v="66"/>
    <n v="70"/>
    <n v="64"/>
    <x v="73"/>
    <s v="Good"/>
    <s v="Pass"/>
  </r>
  <r>
    <x v="0"/>
    <s v="group B"/>
    <s v="some college"/>
    <s v="standard"/>
    <s v="none"/>
    <n v="65"/>
    <n v="63"/>
    <n v="57"/>
    <x v="90"/>
    <s v="Good"/>
    <s v="Pass"/>
  </r>
  <r>
    <x v="0"/>
    <s v="group D"/>
    <s v="associate's degree"/>
    <s v="standard"/>
    <s v="none"/>
    <n v="62"/>
    <n v="55"/>
    <n v="56"/>
    <x v="81"/>
    <s v="Average"/>
    <s v="Pass"/>
  </r>
  <r>
    <x v="0"/>
    <s v="group E"/>
    <s v="some college"/>
    <s v="standard"/>
    <s v="none"/>
    <n v="55"/>
    <n v="54"/>
    <n v="54"/>
    <x v="74"/>
    <s v="Average"/>
    <s v="Pass"/>
  </r>
  <r>
    <x v="0"/>
    <s v="group C"/>
    <s v="some high school"/>
    <s v="free/reduced"/>
    <s v="none"/>
    <n v="73"/>
    <n v="78"/>
    <n v="69"/>
    <x v="62"/>
    <s v="Good"/>
    <s v="Pass"/>
  </r>
  <r>
    <x v="0"/>
    <s v="group A"/>
    <s v="some college"/>
    <s v="standard"/>
    <s v="completed"/>
    <n v="73"/>
    <n v="81"/>
    <n v="76"/>
    <x v="75"/>
    <s v="Good"/>
    <s v="Pass"/>
  </r>
  <r>
    <x v="1"/>
    <s v="group B"/>
    <s v="associate's degree"/>
    <s v="standard"/>
    <s v="completed"/>
    <n v="48"/>
    <n v="66"/>
    <n v="68"/>
    <x v="54"/>
    <s v="Good"/>
    <s v="Pass"/>
  </r>
  <r>
    <x v="0"/>
    <s v="group D"/>
    <s v="some college"/>
    <s v="free/reduced"/>
    <s v="none"/>
    <n v="52"/>
    <n v="44"/>
    <n v="49"/>
    <x v="91"/>
    <s v="Average"/>
    <s v="Pass"/>
  </r>
  <r>
    <x v="1"/>
    <s v="group C"/>
    <s v="some high school"/>
    <s v="free/reduced"/>
    <s v="none"/>
    <n v="60"/>
    <n v="72"/>
    <n v="64"/>
    <x v="92"/>
    <s v="Good"/>
    <s v="Pass"/>
  </r>
  <r>
    <x v="0"/>
    <s v="group B"/>
    <s v="associate's degree"/>
    <s v="free/reduced"/>
    <s v="none"/>
    <n v="68"/>
    <n v="63"/>
    <n v="57"/>
    <x v="67"/>
    <s v="Good"/>
    <s v="Pass"/>
  </r>
  <r>
    <x v="1"/>
    <s v="group D"/>
    <s v="some college"/>
    <s v="free/reduced"/>
    <s v="none"/>
    <n v="65"/>
    <n v="77"/>
    <n v="83"/>
    <x v="28"/>
    <s v="Good"/>
    <s v="Pass"/>
  </r>
  <r>
    <x v="1"/>
    <s v="group D"/>
    <s v="bachelor's degree"/>
    <s v="standard"/>
    <s v="none"/>
    <n v="86"/>
    <n v="83"/>
    <n v="87"/>
    <x v="31"/>
    <s v="Excellent"/>
    <s v="Pass"/>
  </r>
  <r>
    <x v="1"/>
    <s v="group B"/>
    <s v="associate's degree"/>
    <s v="standard"/>
    <s v="none"/>
    <n v="55"/>
    <n v="62"/>
    <n v="60"/>
    <x v="70"/>
    <s v="Average"/>
    <s v="Pass"/>
  </r>
  <r>
    <x v="0"/>
    <s v="group B"/>
    <s v="master's degree"/>
    <s v="standard"/>
    <s v="completed"/>
    <n v="80"/>
    <n v="71"/>
    <n v="68"/>
    <x v="4"/>
    <s v="Good"/>
    <s v="Pass"/>
  </r>
  <r>
    <x v="1"/>
    <s v="group B"/>
    <s v="high school"/>
    <s v="free/reduced"/>
    <s v="none"/>
    <n v="51"/>
    <n v="57"/>
    <n v="57"/>
    <x v="20"/>
    <s v="Average"/>
    <s v="Pass"/>
  </r>
  <r>
    <x v="1"/>
    <s v="group B"/>
    <s v="some high school"/>
    <s v="standard"/>
    <s v="completed"/>
    <n v="63"/>
    <n v="61"/>
    <n v="66"/>
    <x v="93"/>
    <s v="Good"/>
    <s v="Pass"/>
  </r>
  <r>
    <x v="0"/>
    <s v="group E"/>
    <s v="some college"/>
    <s v="standard"/>
    <s v="none"/>
    <n v="60"/>
    <n v="55"/>
    <n v="46"/>
    <x v="42"/>
    <s v="Average"/>
    <s v="Pass"/>
  </r>
  <r>
    <x v="1"/>
    <s v="group E"/>
    <s v="bachelor's degree"/>
    <s v="standard"/>
    <s v="completed"/>
    <n v="100"/>
    <n v="100"/>
    <n v="100"/>
    <x v="94"/>
    <s v="Excellent"/>
    <s v="Pass"/>
  </r>
  <r>
    <x v="0"/>
    <s v="group A"/>
    <s v="associate's degree"/>
    <s v="free/reduced"/>
    <s v="none"/>
    <n v="46"/>
    <n v="44"/>
    <n v="44"/>
    <x v="8"/>
    <s v="Average"/>
    <s v="Pass"/>
  </r>
  <r>
    <x v="1"/>
    <s v="group C"/>
    <s v="some college"/>
    <s v="standard"/>
    <s v="completed"/>
    <n v="67"/>
    <n v="78"/>
    <n v="80"/>
    <x v="28"/>
    <s v="Good"/>
    <s v="Pass"/>
  </r>
  <r>
    <x v="1"/>
    <s v="group C"/>
    <s v="high school"/>
    <s v="free/reduced"/>
    <s v="none"/>
    <n v="54"/>
    <n v="67"/>
    <n v="59"/>
    <x v="39"/>
    <s v="Good"/>
    <s v="Pass"/>
  </r>
  <r>
    <x v="1"/>
    <s v="group B"/>
    <s v="associate's degree"/>
    <s v="standard"/>
    <s v="none"/>
    <n v="63"/>
    <n v="79"/>
    <n v="76"/>
    <x v="57"/>
    <s v="Good"/>
    <s v="Pass"/>
  </r>
  <r>
    <x v="0"/>
    <s v="group D"/>
    <s v="bachelor's degree"/>
    <s v="standard"/>
    <s v="none"/>
    <n v="68"/>
    <n v="66"/>
    <n v="73"/>
    <x v="95"/>
    <s v="Good"/>
    <s v="Pass"/>
  </r>
  <r>
    <x v="1"/>
    <s v="group C"/>
    <s v="associate's degree"/>
    <s v="free/reduced"/>
    <s v="none"/>
    <n v="54"/>
    <n v="63"/>
    <n v="58"/>
    <x v="96"/>
    <s v="Average"/>
    <s v="Pass"/>
  </r>
  <r>
    <x v="1"/>
    <s v="group C"/>
    <s v="some college"/>
    <s v="standard"/>
    <s v="none"/>
    <n v="43"/>
    <n v="44"/>
    <n v="47"/>
    <x v="8"/>
    <s v="Average"/>
    <s v="Pass"/>
  </r>
  <r>
    <x v="0"/>
    <s v="group B"/>
    <s v="high school"/>
    <s v="free/reduced"/>
    <s v="none"/>
    <n v="64"/>
    <n v="64"/>
    <n v="59"/>
    <x v="14"/>
    <s v="Good"/>
    <s v="Pass"/>
  </r>
  <r>
    <x v="1"/>
    <s v="group E"/>
    <s v="associate's degree"/>
    <s v="free/reduced"/>
    <s v="none"/>
    <n v="92"/>
    <n v="87"/>
    <n v="87"/>
    <x v="97"/>
    <s v="Excellent"/>
    <s v="Pass"/>
  </r>
  <r>
    <x v="1"/>
    <s v="group D"/>
    <s v="associate's degree"/>
    <s v="free/reduced"/>
    <s v="none"/>
    <n v="82"/>
    <n v="95"/>
    <n v="93"/>
    <x v="98"/>
    <s v="Excellent"/>
    <s v="Pass"/>
  </r>
  <r>
    <x v="0"/>
    <s v="group E"/>
    <s v="some high school"/>
    <s v="free/reduced"/>
    <s v="none"/>
    <n v="84"/>
    <n v="78"/>
    <n v="79"/>
    <x v="77"/>
    <s v="Excellent"/>
    <s v="Pass"/>
  </r>
  <r>
    <x v="1"/>
    <s v="group D"/>
    <s v="associate's degree"/>
    <s v="standard"/>
    <s v="completed"/>
    <n v="84"/>
    <n v="98"/>
    <n v="97"/>
    <x v="99"/>
    <s v="Excellent"/>
    <s v="Pass"/>
  </r>
  <r>
    <x v="0"/>
    <s v="group D"/>
    <s v="associate's degree"/>
    <s v="free/reduced"/>
    <s v="none"/>
    <n v="65"/>
    <n v="63"/>
    <n v="65"/>
    <x v="50"/>
    <s v="Good"/>
    <s v="Pass"/>
  </r>
  <r>
    <x v="1"/>
    <s v="group C"/>
    <s v="bachelor's degree"/>
    <s v="standard"/>
    <s v="none"/>
    <n v="83"/>
    <n v="92"/>
    <n v="91"/>
    <x v="97"/>
    <s v="Excellent"/>
    <s v="Pass"/>
  </r>
  <r>
    <x v="1"/>
    <s v="group B"/>
    <s v="some high school"/>
    <s v="standard"/>
    <s v="completed"/>
    <n v="70"/>
    <n v="75"/>
    <n v="75"/>
    <x v="62"/>
    <s v="Good"/>
    <s v="Pass"/>
  </r>
  <r>
    <x v="0"/>
    <s v="group A"/>
    <s v="bachelor's degree"/>
    <s v="standard"/>
    <s v="completed"/>
    <n v="66"/>
    <n v="72"/>
    <n v="70"/>
    <x v="34"/>
    <s v="Good"/>
    <s v="Pass"/>
  </r>
  <r>
    <x v="1"/>
    <s v="group D"/>
    <s v="bachelor's degree"/>
    <s v="standard"/>
    <s v="completed"/>
    <n v="71"/>
    <n v="87"/>
    <n v="92"/>
    <x v="100"/>
    <s v="Excellent"/>
    <s v="Pass"/>
  </r>
  <r>
    <x v="0"/>
    <s v="group B"/>
    <s v="bachelor's degree"/>
    <s v="standard"/>
    <s v="none"/>
    <n v="66"/>
    <n v="64"/>
    <n v="58"/>
    <x v="67"/>
    <s v="Good"/>
    <s v="Pass"/>
  </r>
  <r>
    <x v="1"/>
    <s v="group B"/>
    <s v="some high school"/>
    <s v="standard"/>
    <s v="completed"/>
    <n v="57"/>
    <n v="64"/>
    <n v="68"/>
    <x v="101"/>
    <s v="Good"/>
    <s v="Pass"/>
  </r>
  <r>
    <x v="1"/>
    <s v="group C"/>
    <s v="master's degree"/>
    <s v="standard"/>
    <s v="none"/>
    <n v="86"/>
    <n v="90"/>
    <n v="93"/>
    <x v="102"/>
    <s v="Excellent"/>
    <s v="Pass"/>
  </r>
  <r>
    <x v="1"/>
    <s v="group A"/>
    <s v="high school"/>
    <s v="standard"/>
    <s v="none"/>
    <n v="80"/>
    <n v="85"/>
    <n v="83"/>
    <x v="35"/>
    <s v="Excellent"/>
    <s v="Pass"/>
  </r>
  <r>
    <x v="1"/>
    <s v="group B"/>
    <s v="high school"/>
    <s v="standard"/>
    <s v="none"/>
    <n v="62"/>
    <n v="60"/>
    <n v="59"/>
    <x v="16"/>
    <s v="Good"/>
    <s v="Pass"/>
  </r>
  <r>
    <x v="1"/>
    <s v="group D"/>
    <s v="some college"/>
    <s v="standard"/>
    <s v="none"/>
    <n v="71"/>
    <n v="71"/>
    <n v="76"/>
    <x v="57"/>
    <s v="Good"/>
    <s v="Pass"/>
  </r>
  <r>
    <x v="1"/>
    <s v="group C"/>
    <s v="some college"/>
    <s v="free/reduced"/>
    <s v="completed"/>
    <n v="57"/>
    <n v="66"/>
    <n v="71"/>
    <x v="103"/>
    <s v="Good"/>
    <s v="Pass"/>
  </r>
  <r>
    <x v="0"/>
    <s v="group A"/>
    <s v="some high school"/>
    <s v="free/reduced"/>
    <s v="completed"/>
    <n v="69"/>
    <n v="64"/>
    <n v="62"/>
    <x v="104"/>
    <s v="Good"/>
    <s v="Pass"/>
  </r>
  <r>
    <x v="0"/>
    <s v="group B"/>
    <s v="some college"/>
    <s v="standard"/>
    <s v="completed"/>
    <n v="83"/>
    <n v="74"/>
    <n v="72"/>
    <x v="76"/>
    <s v="Good"/>
    <s v="Pass"/>
  </r>
  <r>
    <x v="1"/>
    <s v="group D"/>
    <s v="some college"/>
    <s v="free/reduced"/>
    <s v="none"/>
    <n v="50"/>
    <n v="56"/>
    <n v="60"/>
    <x v="84"/>
    <s v="Average"/>
    <s v="Pass"/>
  </r>
  <r>
    <x v="1"/>
    <s v="group C"/>
    <s v="bachelor's degree"/>
    <s v="standard"/>
    <s v="none"/>
    <n v="55"/>
    <n v="56"/>
    <n v="56"/>
    <x v="46"/>
    <s v="Average"/>
    <s v="Pass"/>
  </r>
  <r>
    <x v="0"/>
    <s v="group B"/>
    <s v="some high school"/>
    <s v="free/reduced"/>
    <s v="none"/>
    <n v="55"/>
    <n v="53"/>
    <n v="51"/>
    <x v="105"/>
    <s v="Average"/>
    <s v="Pass"/>
  </r>
  <r>
    <x v="1"/>
    <s v="group D"/>
    <s v="some college"/>
    <s v="free/reduced"/>
    <s v="completed"/>
    <n v="83"/>
    <n v="93"/>
    <n v="95"/>
    <x v="89"/>
    <s v="Excellent"/>
    <s v="Pass"/>
  </r>
  <r>
    <x v="0"/>
    <s v="group D"/>
    <s v="high school"/>
    <s v="standard"/>
    <s v="completed"/>
    <n v="89"/>
    <n v="87"/>
    <n v="86"/>
    <x v="106"/>
    <s v="Excellent"/>
    <s v="Pass"/>
  </r>
  <r>
    <x v="1"/>
    <s v="group D"/>
    <s v="some high school"/>
    <s v="standard"/>
    <s v="none"/>
    <n v="51"/>
    <n v="62"/>
    <n v="64"/>
    <x v="70"/>
    <s v="Average"/>
    <s v="Pass"/>
  </r>
  <r>
    <x v="1"/>
    <s v="group C"/>
    <s v="some college"/>
    <s v="standard"/>
    <s v="none"/>
    <n v="48"/>
    <n v="52"/>
    <n v="49"/>
    <x v="107"/>
    <s v="Average"/>
    <s v="Pass"/>
  </r>
  <r>
    <x v="1"/>
    <s v="group E"/>
    <s v="bachelor's degree"/>
    <s v="standard"/>
    <s v="none"/>
    <n v="84"/>
    <n v="95"/>
    <n v="89"/>
    <x v="108"/>
    <s v="Excellent"/>
    <s v="Pass"/>
  </r>
  <r>
    <x v="1"/>
    <s v="group C"/>
    <s v="associate's degree"/>
    <s v="standard"/>
    <s v="none"/>
    <n v="69"/>
    <n v="83"/>
    <n v="76"/>
    <x v="109"/>
    <s v="Good"/>
    <s v="Pass"/>
  </r>
  <r>
    <x v="1"/>
    <s v="group C"/>
    <s v="associate's degree"/>
    <s v="standard"/>
    <s v="completed"/>
    <n v="75"/>
    <n v="85"/>
    <n v="87"/>
    <x v="19"/>
    <s v="Excellent"/>
    <s v="Pass"/>
  </r>
  <r>
    <x v="1"/>
    <s v="group C"/>
    <s v="master's degree"/>
    <s v="standard"/>
    <s v="none"/>
    <n v="91"/>
    <n v="100"/>
    <n v="99"/>
    <x v="110"/>
    <s v="Excellent"/>
    <s v="Pass"/>
  </r>
  <r>
    <x v="0"/>
    <s v="group B"/>
    <s v="high school"/>
    <s v="standard"/>
    <s v="none"/>
    <n v="76"/>
    <n v="77"/>
    <n v="67"/>
    <x v="62"/>
    <s v="Good"/>
    <s v="Pass"/>
  </r>
  <r>
    <x v="0"/>
    <s v="group E"/>
    <s v="some high school"/>
    <s v="free/reduced"/>
    <s v="none"/>
    <n v="63"/>
    <n v="61"/>
    <n v="59"/>
    <x v="111"/>
    <s v="Good"/>
    <s v="Pass"/>
  </r>
  <r>
    <x v="0"/>
    <s v="group D"/>
    <s v="high school"/>
    <s v="standard"/>
    <s v="none"/>
    <n v="73"/>
    <n v="65"/>
    <n v="64"/>
    <x v="112"/>
    <s v="Good"/>
    <s v="Pass"/>
  </r>
  <r>
    <x v="0"/>
    <s v="group B"/>
    <s v="some high school"/>
    <s v="free/reduced"/>
    <s v="completed"/>
    <n v="52"/>
    <n v="63"/>
    <n v="53"/>
    <x v="113"/>
    <s v="Average"/>
    <s v="Pass"/>
  </r>
  <r>
    <x v="0"/>
    <s v="group B"/>
    <s v="some high school"/>
    <s v="standard"/>
    <s v="completed"/>
    <n v="58"/>
    <n v="57"/>
    <n v="53"/>
    <x v="113"/>
    <s v="Average"/>
    <s v="Pass"/>
  </r>
  <r>
    <x v="1"/>
    <s v="group B"/>
    <s v="some high school"/>
    <s v="standard"/>
    <s v="none"/>
    <n v="33"/>
    <n v="51"/>
    <n v="51"/>
    <x v="114"/>
    <s v="Average"/>
    <s v="Pass"/>
  </r>
  <r>
    <x v="0"/>
    <s v="group E"/>
    <s v="some high school"/>
    <s v="free/reduced"/>
    <s v="none"/>
    <n v="68"/>
    <n v="62"/>
    <n v="61"/>
    <x v="115"/>
    <s v="Good"/>
    <s v="Pass"/>
  </r>
  <r>
    <x v="1"/>
    <s v="group C"/>
    <s v="associate's degree"/>
    <s v="standard"/>
    <s v="completed"/>
    <n v="77"/>
    <n v="91"/>
    <n v="89"/>
    <x v="10"/>
    <s v="Excellent"/>
    <s v="Pass"/>
  </r>
  <r>
    <x v="1"/>
    <s v="group C"/>
    <s v="bachelor's degree"/>
    <s v="standard"/>
    <s v="none"/>
    <n v="64"/>
    <n v="64"/>
    <n v="66"/>
    <x v="103"/>
    <s v="Good"/>
    <s v="Pass"/>
  </r>
  <r>
    <x v="1"/>
    <s v="group D"/>
    <s v="some high school"/>
    <s v="free/reduced"/>
    <s v="none"/>
    <n v="39"/>
    <n v="49"/>
    <n v="48"/>
    <x v="116"/>
    <s v="Average"/>
    <s v="Pass"/>
  </r>
  <r>
    <x v="0"/>
    <s v="group D"/>
    <s v="bachelor's degree"/>
    <s v="standard"/>
    <s v="none"/>
    <n v="50"/>
    <n v="46"/>
    <n v="48"/>
    <x v="117"/>
    <s v="Average"/>
    <s v="Pass"/>
  </r>
  <r>
    <x v="0"/>
    <s v="group A"/>
    <s v="master's degree"/>
    <s v="free/reduced"/>
    <s v="none"/>
    <n v="53"/>
    <n v="57"/>
    <n v="51"/>
    <x v="42"/>
    <s v="Average"/>
    <s v="Pass"/>
  </r>
  <r>
    <x v="1"/>
    <s v="group B"/>
    <s v="associate's degree"/>
    <s v="standard"/>
    <s v="completed"/>
    <n v="54"/>
    <n v="62"/>
    <n v="70"/>
    <x v="33"/>
    <s v="Good"/>
    <s v="Pass"/>
  </r>
  <r>
    <x v="0"/>
    <s v="group D"/>
    <s v="high school"/>
    <s v="standard"/>
    <s v="none"/>
    <n v="74"/>
    <n v="63"/>
    <n v="65"/>
    <x v="112"/>
    <s v="Good"/>
    <s v="Pass"/>
  </r>
  <r>
    <x v="1"/>
    <s v="group D"/>
    <s v="associate's degree"/>
    <s v="standard"/>
    <s v="completed"/>
    <n v="50"/>
    <n v="63"/>
    <n v="65"/>
    <x v="43"/>
    <s v="Average"/>
    <s v="Pass"/>
  </r>
  <r>
    <x v="0"/>
    <s v="group E"/>
    <s v="associate's degree"/>
    <s v="standard"/>
    <s v="none"/>
    <n v="55"/>
    <n v="54"/>
    <n v="47"/>
    <x v="53"/>
    <s v="Average"/>
    <s v="Pass"/>
  </r>
  <r>
    <x v="0"/>
    <s v="group C"/>
    <s v="some college"/>
    <s v="standard"/>
    <s v="none"/>
    <n v="77"/>
    <n v="64"/>
    <n v="70"/>
    <x v="118"/>
    <s v="Good"/>
    <s v="Pass"/>
  </r>
  <r>
    <x v="1"/>
    <s v="group B"/>
    <s v="some high school"/>
    <s v="standard"/>
    <s v="completed"/>
    <n v="49"/>
    <n v="64"/>
    <n v="67"/>
    <x v="39"/>
    <s v="Good"/>
    <s v="Pass"/>
  </r>
  <r>
    <x v="1"/>
    <s v="group D"/>
    <s v="associate's degree"/>
    <s v="free/reduced"/>
    <s v="none"/>
    <n v="66"/>
    <n v="83"/>
    <n v="82"/>
    <x v="44"/>
    <s v="Good"/>
    <s v="Pass"/>
  </r>
  <r>
    <x v="0"/>
    <s v="group B"/>
    <s v="some high school"/>
    <s v="standard"/>
    <s v="completed"/>
    <n v="77"/>
    <n v="74"/>
    <n v="75"/>
    <x v="66"/>
    <s v="Good"/>
    <s v="Pass"/>
  </r>
  <r>
    <x v="1"/>
    <s v="group A"/>
    <s v="master's degree"/>
    <s v="standard"/>
    <s v="completed"/>
    <n v="74"/>
    <n v="78"/>
    <n v="84"/>
    <x v="55"/>
    <s v="Good"/>
    <s v="Pass"/>
  </r>
  <r>
    <x v="0"/>
    <s v="group C"/>
    <s v="some college"/>
    <s v="standard"/>
    <s v="none"/>
    <n v="85"/>
    <n v="78"/>
    <n v="81"/>
    <x v="58"/>
    <s v="Excellent"/>
    <s v="Pass"/>
  </r>
  <r>
    <x v="1"/>
    <s v="group A"/>
    <s v="some college"/>
    <s v="standard"/>
    <s v="none"/>
    <n v="77"/>
    <n v="86"/>
    <n v="84"/>
    <x v="19"/>
    <s v="Excellent"/>
    <s v="Pass"/>
  </r>
  <r>
    <x v="1"/>
    <s v="group B"/>
    <s v="associate's degree"/>
    <s v="standard"/>
    <s v="none"/>
    <n v="64"/>
    <n v="62"/>
    <n v="66"/>
    <x v="119"/>
    <s v="Good"/>
    <s v="Pass"/>
  </r>
  <r>
    <x v="1"/>
    <s v="group D"/>
    <s v="high school"/>
    <s v="free/reduced"/>
    <s v="completed"/>
    <n v="61"/>
    <n v="69"/>
    <n v="68"/>
    <x v="36"/>
    <s v="Good"/>
    <s v="Pass"/>
  </r>
  <r>
    <x v="0"/>
    <s v="group D"/>
    <s v="associate's degree"/>
    <s v="standard"/>
    <s v="none"/>
    <n v="97"/>
    <n v="88"/>
    <n v="85"/>
    <x v="98"/>
    <s v="Excellent"/>
    <s v="Pass"/>
  </r>
  <r>
    <x v="0"/>
    <s v="group C"/>
    <s v="some college"/>
    <s v="standard"/>
    <s v="completed"/>
    <n v="66"/>
    <n v="75"/>
    <n v="70"/>
    <x v="118"/>
    <s v="Good"/>
    <s v="Pass"/>
  </r>
  <r>
    <x v="0"/>
    <s v="group C"/>
    <s v="some high school"/>
    <s v="standard"/>
    <s v="none"/>
    <n v="62"/>
    <n v="66"/>
    <n v="64"/>
    <x v="119"/>
    <s v="Good"/>
    <s v="Pass"/>
  </r>
  <r>
    <x v="1"/>
    <s v="group E"/>
    <s v="some high school"/>
    <s v="standard"/>
    <s v="completed"/>
    <n v="64"/>
    <n v="80"/>
    <n v="77"/>
    <x v="12"/>
    <s v="Good"/>
    <s v="Pass"/>
  </r>
  <r>
    <x v="1"/>
    <s v="group B"/>
    <s v="bachelor's degree"/>
    <s v="free/reduced"/>
    <s v="none"/>
    <n v="55"/>
    <n v="57"/>
    <n v="60"/>
    <x v="120"/>
    <s v="Average"/>
    <s v="Pass"/>
  </r>
  <r>
    <x v="1"/>
    <s v="group B"/>
    <s v="associate's degree"/>
    <s v="standard"/>
    <s v="none"/>
    <n v="53"/>
    <n v="72"/>
    <n v="66"/>
    <x v="115"/>
    <s v="Good"/>
    <s v="Pass"/>
  </r>
  <r>
    <x v="1"/>
    <s v="group D"/>
    <s v="some college"/>
    <s v="free/reduced"/>
    <s v="none"/>
    <n v="71"/>
    <n v="81"/>
    <n v="77"/>
    <x v="76"/>
    <s v="Good"/>
    <s v="Pass"/>
  </r>
  <r>
    <x v="0"/>
    <s v="group B"/>
    <s v="high school"/>
    <s v="free/reduced"/>
    <s v="completed"/>
    <n v="66"/>
    <n v="59"/>
    <n v="68"/>
    <x v="50"/>
    <s v="Good"/>
    <s v="Pass"/>
  </r>
  <r>
    <x v="0"/>
    <s v="group C"/>
    <s v="associate's degree"/>
    <s v="standard"/>
    <s v="none"/>
    <n v="68"/>
    <n v="61"/>
    <n v="62"/>
    <x v="115"/>
    <s v="Good"/>
    <s v="Pass"/>
  </r>
  <r>
    <x v="0"/>
    <s v="group D"/>
    <s v="some college"/>
    <s v="standard"/>
    <s v="none"/>
    <n v="89"/>
    <n v="90"/>
    <n v="83"/>
    <x v="106"/>
    <s v="Excellent"/>
    <s v="Pass"/>
  </r>
  <r>
    <x v="0"/>
    <s v="group C"/>
    <s v="associate's degree"/>
    <s v="standard"/>
    <s v="completed"/>
    <n v="65"/>
    <n v="69"/>
    <n v="74"/>
    <x v="34"/>
    <s v="Good"/>
    <s v="Pass"/>
  </r>
  <r>
    <x v="1"/>
    <s v="group B"/>
    <s v="some high school"/>
    <s v="standard"/>
    <s v="none"/>
    <n v="43"/>
    <n v="48"/>
    <n v="44"/>
    <x v="114"/>
    <s v="Average"/>
    <s v="Pass"/>
  </r>
  <r>
    <x v="1"/>
    <s v="group D"/>
    <s v="master's degree"/>
    <s v="standard"/>
    <s v="none"/>
    <n v="79"/>
    <n v="77"/>
    <n v="83"/>
    <x v="121"/>
    <s v="Good"/>
    <s v="Pass"/>
  </r>
  <r>
    <x v="0"/>
    <s v="group D"/>
    <s v="bachelor's degree"/>
    <s v="standard"/>
    <s v="none"/>
    <n v="99"/>
    <n v="94"/>
    <n v="97"/>
    <x v="110"/>
    <s v="Excellent"/>
    <s v="Pass"/>
  </r>
  <r>
    <x v="0"/>
    <s v="group D"/>
    <s v="some high school"/>
    <s v="standard"/>
    <s v="none"/>
    <n v="82"/>
    <n v="69"/>
    <n v="72"/>
    <x v="3"/>
    <s v="Good"/>
    <s v="Pass"/>
  </r>
  <r>
    <x v="0"/>
    <s v="group D"/>
    <s v="some college"/>
    <s v="free/reduced"/>
    <s v="completed"/>
    <n v="35"/>
    <n v="36"/>
    <n v="39"/>
    <x v="80"/>
    <s v="Poor"/>
    <s v="Fail"/>
  </r>
  <r>
    <x v="1"/>
    <s v="group D"/>
    <s v="bachelor's degree"/>
    <s v="free/reduced"/>
    <s v="none"/>
    <n v="61"/>
    <n v="71"/>
    <n v="73"/>
    <x v="122"/>
    <s v="Good"/>
    <s v="Pass"/>
  </r>
  <r>
    <x v="1"/>
    <s v="group D"/>
    <s v="high school"/>
    <s v="standard"/>
    <s v="none"/>
    <n v="76"/>
    <n v="80"/>
    <n v="81"/>
    <x v="48"/>
    <s v="Good"/>
    <s v="Pass"/>
  </r>
  <r>
    <x v="0"/>
    <s v="group C"/>
    <s v="associate's degree"/>
    <s v="free/reduced"/>
    <s v="completed"/>
    <n v="94"/>
    <n v="83"/>
    <n v="82"/>
    <x v="123"/>
    <s v="Excellent"/>
    <s v="Pass"/>
  </r>
  <r>
    <x v="1"/>
    <s v="group C"/>
    <s v="high school"/>
    <s v="standard"/>
    <s v="none"/>
    <n v="75"/>
    <n v="90"/>
    <n v="78"/>
    <x v="27"/>
    <s v="Excellent"/>
    <s v="Pass"/>
  </r>
  <r>
    <x v="0"/>
    <s v="group B"/>
    <s v="some college"/>
    <s v="standard"/>
    <s v="none"/>
    <n v="81"/>
    <n v="75"/>
    <n v="70"/>
    <x v="66"/>
    <s v="Good"/>
    <s v="Pass"/>
  </r>
  <r>
    <x v="0"/>
    <s v="group C"/>
    <s v="some college"/>
    <s v="free/reduced"/>
    <s v="none"/>
    <n v="35"/>
    <n v="44"/>
    <n v="33"/>
    <x v="60"/>
    <s v="Poor"/>
    <s v="Fail"/>
  </r>
  <r>
    <x v="0"/>
    <s v="group C"/>
    <s v="some college"/>
    <s v="standard"/>
    <s v="none"/>
    <n v="76"/>
    <n v="74"/>
    <n v="72"/>
    <x v="124"/>
    <s v="Good"/>
    <s v="Pass"/>
  </r>
  <r>
    <x v="1"/>
    <s v="group B"/>
    <s v="bachelor's degree"/>
    <s v="standard"/>
    <s v="none"/>
    <n v="58"/>
    <n v="79"/>
    <n v="82"/>
    <x v="4"/>
    <s v="Good"/>
    <s v="Pass"/>
  </r>
  <r>
    <x v="0"/>
    <s v="group C"/>
    <s v="associate's degree"/>
    <s v="standard"/>
    <s v="completed"/>
    <n v="100"/>
    <n v="91"/>
    <n v="90"/>
    <x v="125"/>
    <s v="Excellent"/>
    <s v="Pass"/>
  </r>
  <r>
    <x v="1"/>
    <s v="group C"/>
    <s v="bachelor's degree"/>
    <s v="standard"/>
    <s v="none"/>
    <n v="53"/>
    <n v="68"/>
    <n v="64"/>
    <x v="90"/>
    <s v="Good"/>
    <s v="Pass"/>
  </r>
  <r>
    <x v="1"/>
    <s v="group D"/>
    <s v="high school"/>
    <s v="standard"/>
    <s v="none"/>
    <n v="82"/>
    <n v="95"/>
    <n v="96"/>
    <x v="49"/>
    <s v="Excellent"/>
    <s v="Pass"/>
  </r>
  <r>
    <x v="0"/>
    <s v="group B"/>
    <s v="associate's degree"/>
    <s v="standard"/>
    <s v="none"/>
    <n v="76"/>
    <n v="62"/>
    <n v="64"/>
    <x v="112"/>
    <s v="Good"/>
    <s v="Pass"/>
  </r>
  <r>
    <x v="0"/>
    <s v="group C"/>
    <s v="bachelor's degree"/>
    <s v="standard"/>
    <s v="completed"/>
    <n v="83"/>
    <n v="75"/>
    <n v="75"/>
    <x v="126"/>
    <s v="Good"/>
    <s v="Pass"/>
  </r>
  <r>
    <x v="1"/>
    <s v="group D"/>
    <s v="some college"/>
    <s v="standard"/>
    <s v="none"/>
    <n v="72"/>
    <n v="84"/>
    <n v="82"/>
    <x v="86"/>
    <s v="Good"/>
    <s v="Pass"/>
  </r>
  <r>
    <x v="0"/>
    <s v="group D"/>
    <s v="associate's degree"/>
    <s v="standard"/>
    <s v="completed"/>
    <n v="76"/>
    <n v="76"/>
    <n v="83"/>
    <x v="127"/>
    <s v="Good"/>
    <s v="Pass"/>
  </r>
  <r>
    <x v="0"/>
    <s v="group D"/>
    <s v="some high school"/>
    <s v="standard"/>
    <s v="none"/>
    <n v="66"/>
    <n v="64"/>
    <n v="58"/>
    <x v="67"/>
    <s v="Good"/>
    <s v="Pass"/>
  </r>
  <r>
    <x v="0"/>
    <s v="group C"/>
    <s v="some college"/>
    <s v="standard"/>
    <s v="none"/>
    <n v="63"/>
    <n v="65"/>
    <n v="63"/>
    <x v="115"/>
    <s v="Good"/>
    <s v="Pass"/>
  </r>
  <r>
    <x v="0"/>
    <s v="group B"/>
    <s v="some high school"/>
    <s v="standard"/>
    <s v="none"/>
    <n v="36"/>
    <n v="34"/>
    <n v="28"/>
    <x v="128"/>
    <s v="Poor"/>
    <s v="Fail"/>
  </r>
  <r>
    <x v="0"/>
    <s v="group C"/>
    <s v="high school"/>
    <s v="standard"/>
    <s v="none"/>
    <n v="68"/>
    <n v="74"/>
    <n v="71"/>
    <x v="21"/>
    <s v="Good"/>
    <s v="Pass"/>
  </r>
  <r>
    <x v="1"/>
    <s v="group C"/>
    <s v="some high school"/>
    <s v="free/reduced"/>
    <s v="completed"/>
    <n v="40"/>
    <n v="52"/>
    <n v="42"/>
    <x v="8"/>
    <s v="Average"/>
    <s v="Pass"/>
  </r>
  <r>
    <x v="0"/>
    <s v="group D"/>
    <s v="some high school"/>
    <s v="standard"/>
    <s v="none"/>
    <n v="68"/>
    <n v="71"/>
    <n v="61"/>
    <x v="73"/>
    <s v="Good"/>
    <s v="Pass"/>
  </r>
  <r>
    <x v="0"/>
    <s v="group C"/>
    <s v="associate's degree"/>
    <s v="standard"/>
    <s v="completed"/>
    <n v="56"/>
    <n v="54"/>
    <n v="52"/>
    <x v="69"/>
    <s v="Average"/>
    <s v="Pass"/>
  </r>
  <r>
    <x v="1"/>
    <s v="group D"/>
    <s v="associate's degree"/>
    <s v="free/reduced"/>
    <s v="none"/>
    <n v="74"/>
    <n v="83"/>
    <n v="80"/>
    <x v="48"/>
    <s v="Good"/>
    <s v="Pass"/>
  </r>
  <r>
    <x v="1"/>
    <s v="group D"/>
    <s v="some college"/>
    <s v="free/reduced"/>
    <s v="none"/>
    <n v="53"/>
    <n v="70"/>
    <n v="71"/>
    <x v="103"/>
    <s v="Good"/>
    <s v="Pass"/>
  </r>
  <r>
    <x v="0"/>
    <s v="group B"/>
    <s v="some high school"/>
    <s v="standard"/>
    <s v="none"/>
    <n v="88"/>
    <n v="65"/>
    <n v="70"/>
    <x v="3"/>
    <s v="Good"/>
    <s v="Pass"/>
  </r>
  <r>
    <x v="0"/>
    <s v="group D"/>
    <s v="some high school"/>
    <s v="standard"/>
    <s v="none"/>
    <n v="67"/>
    <n v="63"/>
    <n v="61"/>
    <x v="115"/>
    <s v="Good"/>
    <s v="Pass"/>
  </r>
  <r>
    <x v="1"/>
    <s v="group B"/>
    <s v="associate's degree"/>
    <s v="standard"/>
    <s v="none"/>
    <n v="60"/>
    <n v="76"/>
    <n v="65"/>
    <x v="30"/>
    <s v="Good"/>
    <s v="Pass"/>
  </r>
  <r>
    <x v="1"/>
    <s v="group C"/>
    <s v="high school"/>
    <s v="free/reduced"/>
    <s v="none"/>
    <n v="51"/>
    <n v="61"/>
    <n v="54"/>
    <x v="84"/>
    <s v="Average"/>
    <s v="Pass"/>
  </r>
  <r>
    <x v="1"/>
    <s v="group D"/>
    <s v="some high school"/>
    <s v="standard"/>
    <s v="none"/>
    <n v="53"/>
    <n v="66"/>
    <n v="59"/>
    <x v="43"/>
    <s v="Average"/>
    <s v="Pass"/>
  </r>
  <r>
    <x v="0"/>
    <s v="group A"/>
    <s v="bachelor's degree"/>
    <s v="standard"/>
    <s v="none"/>
    <n v="80"/>
    <n v="78"/>
    <n v="74"/>
    <x v="71"/>
    <s v="Good"/>
    <s v="Pass"/>
  </r>
  <r>
    <x v="1"/>
    <s v="group E"/>
    <s v="some high school"/>
    <s v="standard"/>
    <s v="none"/>
    <n v="69"/>
    <n v="71"/>
    <n v="67"/>
    <x v="95"/>
    <s v="Good"/>
    <s v="Pass"/>
  </r>
  <r>
    <x v="1"/>
    <s v="group B"/>
    <s v="some high school"/>
    <s v="free/reduced"/>
    <s v="none"/>
    <n v="64"/>
    <n v="79"/>
    <n v="70"/>
    <x v="21"/>
    <s v="Good"/>
    <s v="Pass"/>
  </r>
  <r>
    <x v="1"/>
    <s v="group D"/>
    <s v="associate's degree"/>
    <s v="free/reduced"/>
    <s v="completed"/>
    <n v="80"/>
    <n v="87"/>
    <n v="89"/>
    <x v="31"/>
    <s v="Excellent"/>
    <s v="Pass"/>
  </r>
  <r>
    <x v="1"/>
    <s v="group A"/>
    <s v="some high school"/>
    <s v="standard"/>
    <s v="none"/>
    <n v="58"/>
    <n v="72"/>
    <n v="62"/>
    <x v="119"/>
    <s v="Good"/>
    <s v="Pass"/>
  </r>
  <r>
    <x v="1"/>
    <s v="group C"/>
    <s v="high school"/>
    <s v="standard"/>
    <s v="none"/>
    <n v="39"/>
    <n v="46"/>
    <n v="50"/>
    <x v="114"/>
    <s v="Average"/>
    <s v="Pass"/>
  </r>
  <r>
    <x v="0"/>
    <s v="group D"/>
    <s v="some high school"/>
    <s v="standard"/>
    <s v="none"/>
    <n v="64"/>
    <n v="56"/>
    <n v="50"/>
    <x v="40"/>
    <s v="Average"/>
    <s v="Pass"/>
  </r>
  <r>
    <x v="0"/>
    <s v="group D"/>
    <s v="associate's degree"/>
    <s v="standard"/>
    <s v="none"/>
    <n v="61"/>
    <n v="66"/>
    <n v="63"/>
    <x v="93"/>
    <s v="Good"/>
    <s v="Pass"/>
  </r>
  <r>
    <x v="0"/>
    <s v="group D"/>
    <s v="some high school"/>
    <s v="standard"/>
    <s v="completed"/>
    <n v="90"/>
    <n v="82"/>
    <n v="88"/>
    <x v="129"/>
    <s v="Excellent"/>
    <s v="Pass"/>
  </r>
  <r>
    <x v="0"/>
    <s v="group D"/>
    <s v="some high school"/>
    <s v="standard"/>
    <s v="none"/>
    <n v="73"/>
    <n v="71"/>
    <n v="64"/>
    <x v="34"/>
    <s v="Good"/>
    <s v="Pass"/>
  </r>
  <r>
    <x v="0"/>
    <s v="group C"/>
    <s v="associate's degree"/>
    <s v="standard"/>
    <s v="none"/>
    <n v="73"/>
    <n v="73"/>
    <n v="70"/>
    <x v="5"/>
    <s v="Good"/>
    <s v="Pass"/>
  </r>
  <r>
    <x v="1"/>
    <s v="group D"/>
    <s v="associate's degree"/>
    <s v="standard"/>
    <s v="none"/>
    <n v="67"/>
    <n v="76"/>
    <n v="77"/>
    <x v="62"/>
    <s v="Good"/>
    <s v="Pass"/>
  </r>
  <r>
    <x v="1"/>
    <s v="group B"/>
    <s v="some college"/>
    <s v="standard"/>
    <s v="none"/>
    <n v="57"/>
    <n v="58"/>
    <n v="62"/>
    <x v="70"/>
    <s v="Average"/>
    <s v="Pass"/>
  </r>
  <r>
    <x v="1"/>
    <s v="group E"/>
    <s v="some college"/>
    <s v="standard"/>
    <s v="none"/>
    <n v="65"/>
    <n v="73"/>
    <n v="72"/>
    <x v="47"/>
    <s v="Good"/>
    <s v="Pass"/>
  </r>
  <r>
    <x v="1"/>
    <s v="group C"/>
    <s v="some high school"/>
    <s v="standard"/>
    <s v="none"/>
    <n v="71"/>
    <n v="72"/>
    <n v="71"/>
    <x v="56"/>
    <s v="Good"/>
    <s v="Pass"/>
  </r>
  <r>
    <x v="1"/>
    <s v="group D"/>
    <s v="some high school"/>
    <s v="standard"/>
    <s v="none"/>
    <n v="59"/>
    <n v="69"/>
    <n v="72"/>
    <x v="73"/>
    <s v="Good"/>
    <s v="Pass"/>
  </r>
  <r>
    <x v="0"/>
    <s v="group B"/>
    <s v="high school"/>
    <s v="standard"/>
    <s v="completed"/>
    <n v="74"/>
    <n v="71"/>
    <n v="65"/>
    <x v="47"/>
    <s v="Good"/>
    <s v="Pass"/>
  </r>
  <r>
    <x v="1"/>
    <s v="group E"/>
    <s v="high school"/>
    <s v="standard"/>
    <s v="none"/>
    <n v="93"/>
    <n v="100"/>
    <n v="93"/>
    <x v="130"/>
    <s v="Excellent"/>
    <s v="Pass"/>
  </r>
  <r>
    <x v="1"/>
    <s v="group B"/>
    <s v="some high school"/>
    <s v="standard"/>
    <s v="completed"/>
    <n v="85"/>
    <n v="93"/>
    <n v="92"/>
    <x v="98"/>
    <s v="Excellent"/>
    <s v="Pass"/>
  </r>
  <r>
    <x v="1"/>
    <s v="group E"/>
    <s v="some high school"/>
    <s v="standard"/>
    <s v="none"/>
    <n v="76"/>
    <n v="83"/>
    <n v="79"/>
    <x v="86"/>
    <s v="Good"/>
    <s v="Pass"/>
  </r>
  <r>
    <x v="1"/>
    <s v="group D"/>
    <s v="high school"/>
    <s v="free/reduced"/>
    <s v="none"/>
    <n v="58"/>
    <n v="72"/>
    <n v="70"/>
    <x v="73"/>
    <s v="Good"/>
    <s v="Pass"/>
  </r>
  <r>
    <x v="1"/>
    <s v="group E"/>
    <s v="associate's degree"/>
    <s v="standard"/>
    <s v="none"/>
    <n v="72"/>
    <n v="77"/>
    <n v="77"/>
    <x v="66"/>
    <s v="Good"/>
    <s v="Pass"/>
  </r>
  <r>
    <x v="1"/>
    <s v="group B"/>
    <s v="high school"/>
    <s v="standard"/>
    <s v="none"/>
    <n v="40"/>
    <n v="49"/>
    <n v="47"/>
    <x v="116"/>
    <s v="Average"/>
    <s v="Pass"/>
  </r>
  <r>
    <x v="0"/>
    <s v="group D"/>
    <s v="high school"/>
    <s v="standard"/>
    <s v="completed"/>
    <n v="75"/>
    <n v="73"/>
    <n v="66"/>
    <x v="56"/>
    <s v="Good"/>
    <s v="Pass"/>
  </r>
  <r>
    <x v="0"/>
    <s v="group D"/>
    <s v="some high school"/>
    <s v="standard"/>
    <s v="none"/>
    <n v="85"/>
    <n v="81"/>
    <n v="80"/>
    <x v="131"/>
    <s v="Excellent"/>
    <s v="Pass"/>
  </r>
  <r>
    <x v="0"/>
    <s v="group E"/>
    <s v="associate's degree"/>
    <s v="standard"/>
    <s v="completed"/>
    <n v="100"/>
    <n v="100"/>
    <n v="100"/>
    <x v="94"/>
    <s v="Excellent"/>
    <s v="Pass"/>
  </r>
  <r>
    <x v="1"/>
    <s v="group B"/>
    <s v="some college"/>
    <s v="free/reduced"/>
    <s v="completed"/>
    <n v="53"/>
    <n v="65"/>
    <n v="66"/>
    <x v="6"/>
    <s v="Good"/>
    <s v="Pass"/>
  </r>
  <r>
    <x v="0"/>
    <s v="group D"/>
    <s v="some college"/>
    <s v="free/reduced"/>
    <s v="none"/>
    <n v="40"/>
    <n v="42"/>
    <n v="39"/>
    <x v="132"/>
    <s v="Average"/>
    <s v="Pass"/>
  </r>
  <r>
    <x v="0"/>
    <s v="group B"/>
    <s v="bachelor's degree"/>
    <s v="free/reduced"/>
    <s v="none"/>
    <n v="49"/>
    <n v="49"/>
    <n v="49"/>
    <x v="15"/>
    <s v="Average"/>
    <s v="Pass"/>
  </r>
  <r>
    <x v="0"/>
    <s v="group C"/>
    <s v="associate's degree"/>
    <s v="standard"/>
    <s v="none"/>
    <n v="77"/>
    <n v="80"/>
    <n v="80"/>
    <x v="48"/>
    <s v="Good"/>
    <s v="Pass"/>
  </r>
  <r>
    <x v="1"/>
    <s v="group D"/>
    <s v="high school"/>
    <s v="standard"/>
    <s v="none"/>
    <n v="82"/>
    <n v="89"/>
    <n v="84"/>
    <x v="133"/>
    <s v="Excellent"/>
    <s v="Pass"/>
  </r>
  <r>
    <x v="0"/>
    <s v="group C"/>
    <s v="some college"/>
    <s v="standard"/>
    <s v="none"/>
    <n v="55"/>
    <n v="48"/>
    <n v="42"/>
    <x v="91"/>
    <s v="Average"/>
    <s v="Pass"/>
  </r>
  <r>
    <x v="1"/>
    <s v="group C"/>
    <s v="some high school"/>
    <s v="free/reduced"/>
    <s v="none"/>
    <n v="62"/>
    <n v="71"/>
    <n v="77"/>
    <x v="47"/>
    <s v="Good"/>
    <s v="Pass"/>
  </r>
  <r>
    <x v="0"/>
    <s v="group B"/>
    <s v="high school"/>
    <s v="standard"/>
    <s v="completed"/>
    <n v="69"/>
    <n v="63"/>
    <n v="59"/>
    <x v="115"/>
    <s v="Good"/>
    <s v="Pass"/>
  </r>
  <r>
    <x v="0"/>
    <s v="group C"/>
    <s v="associate's degree"/>
    <s v="standard"/>
    <s v="none"/>
    <n v="78"/>
    <n v="74"/>
    <n v="76"/>
    <x v="109"/>
    <s v="Good"/>
    <s v="Pass"/>
  </r>
  <r>
    <x v="1"/>
    <s v="group B"/>
    <s v="high school"/>
    <s v="free/reduced"/>
    <s v="completed"/>
    <n v="71"/>
    <n v="77"/>
    <n v="82"/>
    <x v="75"/>
    <s v="Good"/>
    <s v="Pass"/>
  </r>
  <r>
    <x v="0"/>
    <s v="group D"/>
    <s v="some college"/>
    <s v="free/reduced"/>
    <s v="completed"/>
    <n v="59"/>
    <n v="71"/>
    <n v="66"/>
    <x v="92"/>
    <s v="Good"/>
    <s v="Pass"/>
  </r>
  <r>
    <x v="1"/>
    <s v="group D"/>
    <s v="high school"/>
    <s v="free/reduced"/>
    <s v="none"/>
    <n v="60"/>
    <n v="75"/>
    <n v="70"/>
    <x v="122"/>
    <s v="Good"/>
    <s v="Pass"/>
  </r>
  <r>
    <x v="1"/>
    <s v="group C"/>
    <s v="bachelor's degree"/>
    <s v="free/reduced"/>
    <s v="completed"/>
    <n v="43"/>
    <n v="60"/>
    <n v="60"/>
    <x v="74"/>
    <s v="Average"/>
    <s v="Pass"/>
  </r>
  <r>
    <x v="1"/>
    <s v="group C"/>
    <s v="some high school"/>
    <s v="standard"/>
    <s v="none"/>
    <n v="77"/>
    <n v="83"/>
    <n v="86"/>
    <x v="131"/>
    <s v="Excellent"/>
    <s v="Pass"/>
  </r>
  <r>
    <x v="0"/>
    <s v="group D"/>
    <s v="some high school"/>
    <s v="free/reduced"/>
    <s v="none"/>
    <n v="50"/>
    <n v="47"/>
    <n v="46"/>
    <x v="134"/>
    <s v="Average"/>
    <s v="Pass"/>
  </r>
  <r>
    <x v="1"/>
    <s v="group E"/>
    <s v="bachelor's degree"/>
    <s v="free/reduced"/>
    <s v="none"/>
    <n v="56"/>
    <n v="58"/>
    <n v="52"/>
    <x v="84"/>
    <s v="Average"/>
    <s v="Pass"/>
  </r>
  <r>
    <x v="0"/>
    <s v="group B"/>
    <s v="high school"/>
    <s v="standard"/>
    <s v="none"/>
    <n v="69"/>
    <n v="58"/>
    <n v="50"/>
    <x v="70"/>
    <s v="Average"/>
    <s v="Pass"/>
  </r>
  <r>
    <x v="0"/>
    <s v="group D"/>
    <s v="high school"/>
    <s v="standard"/>
    <s v="none"/>
    <n v="47"/>
    <n v="43"/>
    <n v="39"/>
    <x v="85"/>
    <s v="Average"/>
    <s v="Pass"/>
  </r>
  <r>
    <x v="0"/>
    <s v="group B"/>
    <s v="some college"/>
    <s v="free/reduced"/>
    <s v="none"/>
    <n v="43"/>
    <n v="28"/>
    <n v="24"/>
    <x v="135"/>
    <s v="Poor"/>
    <s v="Fail"/>
  </r>
  <r>
    <x v="0"/>
    <s v="group A"/>
    <s v="some high school"/>
    <s v="free/reduced"/>
    <s v="none"/>
    <n v="48"/>
    <n v="39"/>
    <n v="40"/>
    <x v="136"/>
    <s v="Average"/>
    <s v="Pass"/>
  </r>
  <r>
    <x v="0"/>
    <s v="group C"/>
    <s v="high school"/>
    <s v="free/reduced"/>
    <s v="none"/>
    <n v="55"/>
    <n v="62"/>
    <n v="49"/>
    <x v="84"/>
    <s v="Average"/>
    <s v="Pass"/>
  </r>
  <r>
    <x v="0"/>
    <s v="group C"/>
    <s v="some college"/>
    <s v="standard"/>
    <s v="none"/>
    <n v="73"/>
    <n v="68"/>
    <n v="66"/>
    <x v="95"/>
    <s v="Good"/>
    <s v="Pass"/>
  </r>
  <r>
    <x v="0"/>
    <s v="group D"/>
    <s v="bachelor's degree"/>
    <s v="standard"/>
    <s v="none"/>
    <n v="71"/>
    <n v="63"/>
    <n v="66"/>
    <x v="73"/>
    <s v="Good"/>
    <s v="Pass"/>
  </r>
  <r>
    <x v="1"/>
    <s v="group B"/>
    <s v="some college"/>
    <s v="standard"/>
    <s v="none"/>
    <n v="54"/>
    <n v="57"/>
    <n v="60"/>
    <x v="82"/>
    <s v="Average"/>
    <s v="Pass"/>
  </r>
  <r>
    <x v="0"/>
    <s v="group C"/>
    <s v="high school"/>
    <s v="standard"/>
    <s v="none"/>
    <n v="66"/>
    <n v="61"/>
    <n v="63"/>
    <x v="93"/>
    <s v="Good"/>
    <s v="Pass"/>
  </r>
  <r>
    <x v="0"/>
    <s v="group A"/>
    <s v="master's degree"/>
    <s v="standard"/>
    <s v="none"/>
    <n v="63"/>
    <n v="63"/>
    <n v="67"/>
    <x v="50"/>
    <s v="Good"/>
    <s v="Pass"/>
  </r>
  <r>
    <x v="1"/>
    <s v="group D"/>
    <s v="bachelor's degree"/>
    <s v="standard"/>
    <s v="none"/>
    <n v="66"/>
    <n v="81"/>
    <n v="73"/>
    <x v="62"/>
    <s v="Good"/>
    <s v="Pass"/>
  </r>
  <r>
    <x v="0"/>
    <s v="group C"/>
    <s v="bachelor's degree"/>
    <s v="standard"/>
    <s v="completed"/>
    <n v="79"/>
    <n v="80"/>
    <n v="75"/>
    <x v="72"/>
    <s v="Good"/>
    <s v="Pass"/>
  </r>
  <r>
    <x v="0"/>
    <s v="group D"/>
    <s v="associate's degree"/>
    <s v="free/reduced"/>
    <s v="completed"/>
    <n v="73"/>
    <n v="69"/>
    <n v="70"/>
    <x v="88"/>
    <s v="Good"/>
    <s v="Pass"/>
  </r>
  <r>
    <x v="1"/>
    <s v="group C"/>
    <s v="some high school"/>
    <s v="standard"/>
    <s v="none"/>
    <n v="36"/>
    <n v="57"/>
    <n v="53"/>
    <x v="63"/>
    <s v="Average"/>
    <s v="Pass"/>
  </r>
  <r>
    <x v="0"/>
    <s v="group C"/>
    <s v="associate's degree"/>
    <s v="free/reduced"/>
    <s v="none"/>
    <n v="50"/>
    <n v="48"/>
    <n v="43"/>
    <x v="137"/>
    <s v="Average"/>
    <s v="Pass"/>
  </r>
  <r>
    <x v="0"/>
    <s v="group E"/>
    <s v="some college"/>
    <s v="standard"/>
    <s v="completed"/>
    <n v="87"/>
    <n v="78"/>
    <n v="80"/>
    <x v="138"/>
    <s v="Excellent"/>
    <s v="Pass"/>
  </r>
  <r>
    <x v="0"/>
    <s v="group C"/>
    <s v="associate's degree"/>
    <s v="standard"/>
    <s v="none"/>
    <n v="71"/>
    <n v="68"/>
    <n v="63"/>
    <x v="112"/>
    <s v="Good"/>
    <s v="Pass"/>
  </r>
  <r>
    <x v="1"/>
    <s v="group C"/>
    <s v="associate's degree"/>
    <s v="standard"/>
    <s v="completed"/>
    <n v="85"/>
    <n v="87"/>
    <n v="94"/>
    <x v="97"/>
    <s v="Excellent"/>
    <s v="Pass"/>
  </r>
  <r>
    <x v="1"/>
    <s v="group C"/>
    <s v="high school"/>
    <s v="standard"/>
    <s v="completed"/>
    <n v="58"/>
    <n v="67"/>
    <n v="64"/>
    <x v="101"/>
    <s v="Good"/>
    <s v="Pass"/>
  </r>
  <r>
    <x v="0"/>
    <s v="group C"/>
    <s v="some college"/>
    <s v="standard"/>
    <s v="none"/>
    <n v="86"/>
    <n v="83"/>
    <n v="81"/>
    <x v="100"/>
    <s v="Excellent"/>
    <s v="Pass"/>
  </r>
  <r>
    <x v="1"/>
    <s v="group D"/>
    <s v="some high school"/>
    <s v="free/reduced"/>
    <s v="none"/>
    <n v="64"/>
    <n v="86"/>
    <n v="89"/>
    <x v="121"/>
    <s v="Good"/>
    <s v="Pass"/>
  </r>
  <r>
    <x v="0"/>
    <s v="group D"/>
    <s v="some college"/>
    <s v="standard"/>
    <s v="none"/>
    <n v="83"/>
    <n v="85"/>
    <n v="79"/>
    <x v="19"/>
    <s v="Excellent"/>
    <s v="Pass"/>
  </r>
  <r>
    <x v="0"/>
    <s v="group E"/>
    <s v="high school"/>
    <s v="free/reduced"/>
    <s v="completed"/>
    <n v="58"/>
    <n v="56"/>
    <n v="49"/>
    <x v="74"/>
    <s v="Average"/>
    <s v="Pass"/>
  </r>
  <r>
    <x v="1"/>
    <s v="group C"/>
    <s v="some college"/>
    <s v="free/reduced"/>
    <s v="completed"/>
    <n v="59"/>
    <n v="83"/>
    <n v="81"/>
    <x v="3"/>
    <s v="Good"/>
    <s v="Pass"/>
  </r>
  <r>
    <x v="1"/>
    <s v="group C"/>
    <s v="high school"/>
    <s v="standard"/>
    <s v="none"/>
    <n v="40"/>
    <n v="58"/>
    <n v="54"/>
    <x v="139"/>
    <s v="Average"/>
    <s v="Pass"/>
  </r>
  <r>
    <x v="0"/>
    <s v="group D"/>
    <s v="associate's degree"/>
    <s v="standard"/>
    <s v="completed"/>
    <n v="82"/>
    <n v="83"/>
    <n v="85"/>
    <x v="100"/>
    <s v="Excellent"/>
    <s v="Pass"/>
  </r>
  <r>
    <x v="0"/>
    <s v="group E"/>
    <s v="some high school"/>
    <s v="standard"/>
    <s v="none"/>
    <n v="87"/>
    <n v="84"/>
    <n v="80"/>
    <x v="140"/>
    <s v="Excellent"/>
    <s v="Pass"/>
  </r>
  <r>
    <x v="1"/>
    <s v="group C"/>
    <s v="some high school"/>
    <s v="standard"/>
    <s v="none"/>
    <n v="62"/>
    <n v="65"/>
    <n v="64"/>
    <x v="115"/>
    <s v="Good"/>
    <s v="Pass"/>
  </r>
  <r>
    <x v="0"/>
    <s v="group B"/>
    <s v="associate's degree"/>
    <s v="free/reduced"/>
    <s v="completed"/>
    <n v="76"/>
    <n v="80"/>
    <n v="78"/>
    <x v="72"/>
    <s v="Good"/>
    <s v="Pass"/>
  </r>
  <r>
    <x v="1"/>
    <s v="group A"/>
    <s v="high school"/>
    <s v="standard"/>
    <s v="none"/>
    <n v="63"/>
    <n v="69"/>
    <n v="60"/>
    <x v="119"/>
    <s v="Good"/>
    <s v="Pass"/>
  </r>
  <r>
    <x v="0"/>
    <s v="group D"/>
    <s v="some college"/>
    <s v="free/reduced"/>
    <s v="completed"/>
    <n v="58"/>
    <n v="60"/>
    <n v="59"/>
    <x v="70"/>
    <s v="Average"/>
    <s v="Pass"/>
  </r>
  <r>
    <x v="0"/>
    <s v="group D"/>
    <s v="associate's degree"/>
    <s v="standard"/>
    <s v="completed"/>
    <n v="61"/>
    <n v="63"/>
    <n v="65"/>
    <x v="101"/>
    <s v="Good"/>
    <s v="Pass"/>
  </r>
  <r>
    <x v="0"/>
    <s v="group C"/>
    <s v="some college"/>
    <s v="standard"/>
    <s v="none"/>
    <n v="78"/>
    <n v="69"/>
    <n v="71"/>
    <x v="57"/>
    <s v="Good"/>
    <s v="Pass"/>
  </r>
  <r>
    <x v="1"/>
    <s v="group C"/>
    <s v="bachelor's degree"/>
    <s v="free/reduced"/>
    <s v="completed"/>
    <n v="78"/>
    <n v="90"/>
    <n v="81"/>
    <x v="11"/>
    <s v="Excellent"/>
    <s v="Pass"/>
  </r>
  <r>
    <x v="0"/>
    <s v="group C"/>
    <s v="some college"/>
    <s v="standard"/>
    <s v="none"/>
    <n v="56"/>
    <n v="54"/>
    <n v="43"/>
    <x v="22"/>
    <s v="Average"/>
    <s v="Pass"/>
  </r>
  <r>
    <x v="0"/>
    <s v="group D"/>
    <s v="some high school"/>
    <s v="standard"/>
    <s v="none"/>
    <n v="96"/>
    <n v="83"/>
    <n v="82"/>
    <x v="141"/>
    <s v="Excellent"/>
    <s v="Pass"/>
  </r>
  <r>
    <x v="0"/>
    <s v="group C"/>
    <s v="high school"/>
    <s v="standard"/>
    <s v="none"/>
    <n v="48"/>
    <n v="43"/>
    <n v="40"/>
    <x v="142"/>
    <s v="Average"/>
    <s v="Pass"/>
  </r>
  <r>
    <x v="0"/>
    <s v="group C"/>
    <s v="associate's degree"/>
    <s v="standard"/>
    <s v="completed"/>
    <n v="70"/>
    <n v="76"/>
    <n v="72"/>
    <x v="57"/>
    <s v="Good"/>
    <s v="Pass"/>
  </r>
  <r>
    <x v="0"/>
    <s v="group D"/>
    <s v="some college"/>
    <s v="free/reduced"/>
    <s v="none"/>
    <n v="43"/>
    <n v="68"/>
    <n v="58"/>
    <x v="2"/>
    <s v="Average"/>
    <s v="Pass"/>
  </r>
  <r>
    <x v="1"/>
    <s v="group E"/>
    <s v="high school"/>
    <s v="free/reduced"/>
    <s v="none"/>
    <n v="45"/>
    <n v="46"/>
    <n v="49"/>
    <x v="79"/>
    <s v="Average"/>
    <s v="Pass"/>
  </r>
  <r>
    <x v="1"/>
    <s v="group C"/>
    <s v="associate's degree"/>
    <s v="standard"/>
    <s v="none"/>
    <n v="58"/>
    <n v="68"/>
    <n v="62"/>
    <x v="67"/>
    <s v="Good"/>
    <s v="Pass"/>
  </r>
  <r>
    <x v="1"/>
    <s v="group A"/>
    <s v="high school"/>
    <s v="standard"/>
    <s v="completed"/>
    <n v="70"/>
    <n v="73"/>
    <n v="80"/>
    <x v="3"/>
    <s v="Good"/>
    <s v="Pass"/>
  </r>
  <r>
    <x v="1"/>
    <s v="group E"/>
    <s v="some high school"/>
    <s v="standard"/>
    <s v="none"/>
    <n v="60"/>
    <n v="61"/>
    <n v="58"/>
    <x v="143"/>
    <s v="Average"/>
    <s v="Pass"/>
  </r>
  <r>
    <x v="0"/>
    <s v="group C"/>
    <s v="some high school"/>
    <s v="free/reduced"/>
    <s v="none"/>
    <n v="52"/>
    <n v="53"/>
    <n v="47"/>
    <x v="139"/>
    <s v="Average"/>
    <s v="Pass"/>
  </r>
  <r>
    <x v="0"/>
    <s v="group C"/>
    <s v="associate's degree"/>
    <s v="free/reduced"/>
    <s v="none"/>
    <n v="61"/>
    <n v="62"/>
    <n v="54"/>
    <x v="70"/>
    <s v="Average"/>
    <s v="Pass"/>
  </r>
  <r>
    <x v="1"/>
    <s v="group D"/>
    <s v="some high school"/>
    <s v="standard"/>
    <s v="none"/>
    <n v="55"/>
    <n v="70"/>
    <n v="61"/>
    <x v="33"/>
    <s v="Good"/>
    <s v="Pass"/>
  </r>
  <r>
    <x v="0"/>
    <s v="group B"/>
    <s v="high school"/>
    <s v="standard"/>
    <s v="completed"/>
    <n v="80"/>
    <n v="80"/>
    <n v="79"/>
    <x v="121"/>
    <s v="Good"/>
    <s v="Pass"/>
  </r>
  <r>
    <x v="0"/>
    <s v="group D"/>
    <s v="some college"/>
    <s v="free/reduced"/>
    <s v="none"/>
    <n v="63"/>
    <n v="60"/>
    <n v="54"/>
    <x v="70"/>
    <s v="Average"/>
    <s v="Pass"/>
  </r>
  <r>
    <x v="1"/>
    <s v="group B"/>
    <s v="master's degree"/>
    <s v="standard"/>
    <s v="none"/>
    <n v="79"/>
    <n v="79"/>
    <n v="87"/>
    <x v="138"/>
    <s v="Excellent"/>
    <s v="Pass"/>
  </r>
  <r>
    <x v="0"/>
    <s v="group A"/>
    <s v="associate's degree"/>
    <s v="standard"/>
    <s v="none"/>
    <n v="74"/>
    <n v="78"/>
    <n v="72"/>
    <x v="144"/>
    <s v="Good"/>
    <s v="Pass"/>
  </r>
  <r>
    <x v="1"/>
    <s v="group B"/>
    <s v="some college"/>
    <s v="free/reduced"/>
    <s v="completed"/>
    <n v="46"/>
    <n v="58"/>
    <n v="64"/>
    <x v="113"/>
    <s v="Average"/>
    <s v="Pass"/>
  </r>
  <r>
    <x v="1"/>
    <s v="group B"/>
    <s v="some high school"/>
    <s v="standard"/>
    <s v="completed"/>
    <n v="72"/>
    <n v="88"/>
    <n v="92"/>
    <x v="26"/>
    <s v="Excellent"/>
    <s v="Pass"/>
  </r>
  <r>
    <x v="1"/>
    <s v="group E"/>
    <s v="some high school"/>
    <s v="free/reduced"/>
    <s v="none"/>
    <n v="58"/>
    <n v="64"/>
    <n v="64"/>
    <x v="33"/>
    <s v="Good"/>
    <s v="Pass"/>
  </r>
  <r>
    <x v="1"/>
    <s v="group E"/>
    <s v="master's degree"/>
    <s v="standard"/>
    <s v="none"/>
    <n v="47"/>
    <n v="50"/>
    <n v="47"/>
    <x v="117"/>
    <s v="Average"/>
    <s v="Pass"/>
  </r>
  <r>
    <x v="1"/>
    <s v="group D"/>
    <s v="bachelor's degree"/>
    <s v="standard"/>
    <s v="completed"/>
    <n v="68"/>
    <n v="78"/>
    <n v="84"/>
    <x v="75"/>
    <s v="Good"/>
    <s v="Pass"/>
  </r>
  <r>
    <x v="0"/>
    <s v="group D"/>
    <s v="bachelor's degree"/>
    <s v="free/reduced"/>
    <s v="completed"/>
    <n v="68"/>
    <n v="71"/>
    <n v="67"/>
    <x v="145"/>
    <s v="Good"/>
    <s v="Pass"/>
  </r>
  <r>
    <x v="1"/>
    <s v="group D"/>
    <s v="high school"/>
    <s v="standard"/>
    <s v="none"/>
    <n v="65"/>
    <n v="75"/>
    <n v="68"/>
    <x v="34"/>
    <s v="Good"/>
    <s v="Pass"/>
  </r>
  <r>
    <x v="1"/>
    <s v="group B"/>
    <s v="associate's degree"/>
    <s v="standard"/>
    <s v="none"/>
    <n v="50"/>
    <n v="54"/>
    <n v="51"/>
    <x v="146"/>
    <s v="Average"/>
    <s v="Pass"/>
  </r>
  <r>
    <x v="1"/>
    <s v="group B"/>
    <s v="high school"/>
    <s v="free/reduced"/>
    <s v="completed"/>
    <n v="48"/>
    <n v="71"/>
    <n v="68"/>
    <x v="14"/>
    <s v="Good"/>
    <s v="Pass"/>
  </r>
  <r>
    <x v="1"/>
    <s v="group B"/>
    <s v="bachelor's degree"/>
    <s v="standard"/>
    <s v="none"/>
    <n v="58"/>
    <n v="60"/>
    <n v="64"/>
    <x v="54"/>
    <s v="Good"/>
    <s v="Pass"/>
  </r>
  <r>
    <x v="0"/>
    <s v="group C"/>
    <s v="some high school"/>
    <s v="free/reduced"/>
    <s v="completed"/>
    <n v="71"/>
    <n v="74"/>
    <n v="68"/>
    <x v="21"/>
    <s v="Good"/>
    <s v="Pass"/>
  </r>
  <r>
    <x v="0"/>
    <s v="group D"/>
    <s v="some high school"/>
    <s v="free/reduced"/>
    <s v="completed"/>
    <n v="58"/>
    <n v="52"/>
    <n v="48"/>
    <x v="147"/>
    <s v="Average"/>
    <s v="Pass"/>
  </r>
  <r>
    <x v="1"/>
    <s v="group A"/>
    <s v="some college"/>
    <s v="free/reduced"/>
    <s v="none"/>
    <n v="66"/>
    <n v="90"/>
    <n v="83"/>
    <x v="121"/>
    <s v="Good"/>
    <s v="Pass"/>
  </r>
  <r>
    <x v="0"/>
    <s v="group C"/>
    <s v="some college"/>
    <s v="free/reduced"/>
    <s v="none"/>
    <n v="44"/>
    <n v="53"/>
    <n v="43"/>
    <x v="79"/>
    <s v="Average"/>
    <s v="Pass"/>
  </r>
  <r>
    <x v="1"/>
    <s v="group B"/>
    <s v="some high school"/>
    <s v="standard"/>
    <s v="completed"/>
    <n v="51"/>
    <n v="63"/>
    <n v="66"/>
    <x v="39"/>
    <s v="Good"/>
    <s v="Pass"/>
  </r>
  <r>
    <x v="0"/>
    <s v="group A"/>
    <s v="some college"/>
    <s v="standard"/>
    <s v="completed"/>
    <n v="78"/>
    <n v="83"/>
    <n v="77"/>
    <x v="86"/>
    <s v="Good"/>
    <s v="Pass"/>
  </r>
  <r>
    <x v="0"/>
    <s v="group C"/>
    <s v="high school"/>
    <s v="standard"/>
    <s v="none"/>
    <n v="72"/>
    <n v="71"/>
    <n v="65"/>
    <x v="34"/>
    <s v="Good"/>
    <s v="Pass"/>
  </r>
  <r>
    <x v="1"/>
    <s v="group D"/>
    <s v="associate's degree"/>
    <s v="standard"/>
    <s v="none"/>
    <n v="60"/>
    <n v="64"/>
    <n v="67"/>
    <x v="115"/>
    <s v="Good"/>
    <s v="Pass"/>
  </r>
  <r>
    <x v="1"/>
    <s v="group C"/>
    <s v="associate's degree"/>
    <s v="free/reduced"/>
    <s v="none"/>
    <n v="55"/>
    <n v="61"/>
    <n v="60"/>
    <x v="148"/>
    <s v="Average"/>
    <s v="Pass"/>
  </r>
  <r>
    <x v="0"/>
    <s v="group B"/>
    <s v="some high school"/>
    <s v="standard"/>
    <s v="none"/>
    <n v="64"/>
    <n v="67"/>
    <n v="64"/>
    <x v="104"/>
    <s v="Good"/>
    <s v="Pass"/>
  </r>
  <r>
    <x v="1"/>
    <s v="group C"/>
    <s v="some high school"/>
    <s v="free/reduced"/>
    <s v="none"/>
    <n v="57"/>
    <n v="64"/>
    <n v="60"/>
    <x v="16"/>
    <s v="Good"/>
    <s v="Pass"/>
  </r>
  <r>
    <x v="1"/>
    <s v="group A"/>
    <s v="high school"/>
    <s v="standard"/>
    <s v="none"/>
    <n v="70"/>
    <n v="75"/>
    <n v="74"/>
    <x v="4"/>
    <s v="Good"/>
    <s v="Pass"/>
  </r>
  <r>
    <x v="0"/>
    <s v="group D"/>
    <s v="some high school"/>
    <s v="standard"/>
    <s v="completed"/>
    <n v="84"/>
    <n v="72"/>
    <n v="76"/>
    <x v="71"/>
    <s v="Good"/>
    <s v="Pass"/>
  </r>
  <r>
    <x v="1"/>
    <s v="group B"/>
    <s v="some college"/>
    <s v="standard"/>
    <s v="completed"/>
    <n v="66"/>
    <n v="71"/>
    <n v="76"/>
    <x v="21"/>
    <s v="Good"/>
    <s v="Pass"/>
  </r>
  <r>
    <x v="1"/>
    <s v="group C"/>
    <s v="bachelor's degree"/>
    <s v="free/reduced"/>
    <s v="completed"/>
    <n v="56"/>
    <n v="65"/>
    <n v="73"/>
    <x v="103"/>
    <s v="Good"/>
    <s v="Pass"/>
  </r>
  <r>
    <x v="0"/>
    <s v="group E"/>
    <s v="some college"/>
    <s v="free/reduced"/>
    <s v="completed"/>
    <n v="59"/>
    <n v="53"/>
    <n v="56"/>
    <x v="113"/>
    <s v="Average"/>
    <s v="Pass"/>
  </r>
  <r>
    <x v="1"/>
    <s v="group E"/>
    <s v="bachelor's degree"/>
    <s v="standard"/>
    <s v="none"/>
    <n v="87"/>
    <n v="89"/>
    <n v="84"/>
    <x v="129"/>
    <s v="Excellent"/>
    <s v="Pass"/>
  </r>
  <r>
    <x v="0"/>
    <s v="group E"/>
    <s v="high school"/>
    <s v="free/reduced"/>
    <s v="none"/>
    <n v="73"/>
    <n v="75"/>
    <n v="64"/>
    <x v="88"/>
    <s v="Good"/>
    <s v="Pass"/>
  </r>
  <r>
    <x v="1"/>
    <s v="group A"/>
    <s v="high school"/>
    <s v="standard"/>
    <s v="none"/>
    <n v="85"/>
    <n v="91"/>
    <n v="89"/>
    <x v="7"/>
    <s v="Excellent"/>
    <s v="Pass"/>
  </r>
  <r>
    <x v="0"/>
    <s v="group B"/>
    <s v="some college"/>
    <s v="free/reduced"/>
    <s v="none"/>
    <n v="49"/>
    <n v="54"/>
    <n v="42"/>
    <x v="91"/>
    <s v="Average"/>
    <s v="Pass"/>
  </r>
  <r>
    <x v="1"/>
    <s v="group C"/>
    <s v="bachelor's degree"/>
    <s v="standard"/>
    <s v="completed"/>
    <n v="82"/>
    <n v="87"/>
    <n v="90"/>
    <x v="123"/>
    <s v="Excellent"/>
    <s v="Pass"/>
  </r>
  <r>
    <x v="1"/>
    <s v="group D"/>
    <s v="some college"/>
    <s v="standard"/>
    <s v="none"/>
    <n v="80"/>
    <n v="90"/>
    <n v="90"/>
    <x v="129"/>
    <s v="Excellent"/>
    <s v="Pass"/>
  </r>
  <r>
    <x v="1"/>
    <s v="group E"/>
    <s v="high school"/>
    <s v="standard"/>
    <s v="none"/>
    <n v="48"/>
    <n v="51"/>
    <n v="43"/>
    <x v="51"/>
    <s v="Average"/>
    <s v="Pass"/>
  </r>
  <r>
    <x v="1"/>
    <s v="group D"/>
    <s v="high school"/>
    <s v="standard"/>
    <s v="completed"/>
    <n v="85"/>
    <n v="83"/>
    <n v="94"/>
    <x v="106"/>
    <s v="Excellent"/>
    <s v="Pass"/>
  </r>
  <r>
    <x v="1"/>
    <s v="group E"/>
    <s v="some high school"/>
    <s v="standard"/>
    <s v="completed"/>
    <n v="70"/>
    <n v="78"/>
    <n v="76"/>
    <x v="144"/>
    <s v="Good"/>
    <s v="Pass"/>
  </r>
  <r>
    <x v="0"/>
    <s v="group E"/>
    <s v="associate's degree"/>
    <s v="standard"/>
    <s v="completed"/>
    <n v="89"/>
    <n v="84"/>
    <n v="81"/>
    <x v="83"/>
    <s v="Excellent"/>
    <s v="Pass"/>
  </r>
  <r>
    <x v="1"/>
    <s v="group D"/>
    <s v="high school"/>
    <s v="standard"/>
    <s v="completed"/>
    <n v="72"/>
    <n v="86"/>
    <n v="79"/>
    <x v="48"/>
    <s v="Good"/>
    <s v="Pass"/>
  </r>
  <r>
    <x v="1"/>
    <s v="group D"/>
    <s v="some high school"/>
    <s v="free/reduced"/>
    <s v="none"/>
    <n v="80"/>
    <n v="86"/>
    <n v="87"/>
    <x v="13"/>
    <s v="Excellent"/>
    <s v="Pass"/>
  </r>
  <r>
    <x v="1"/>
    <s v="group D"/>
    <s v="some high school"/>
    <s v="free/reduced"/>
    <s v="none"/>
    <n v="43"/>
    <n v="57"/>
    <n v="50"/>
    <x v="149"/>
    <s v="Average"/>
    <s v="Pass"/>
  </r>
  <r>
    <x v="0"/>
    <s v="group C"/>
    <s v="some high school"/>
    <s v="free/reduced"/>
    <s v="completed"/>
    <n v="54"/>
    <n v="61"/>
    <n v="61"/>
    <x v="148"/>
    <s v="Average"/>
    <s v="Pass"/>
  </r>
  <r>
    <x v="0"/>
    <s v="group A"/>
    <s v="associate's degree"/>
    <s v="free/reduced"/>
    <s v="completed"/>
    <n v="82"/>
    <n v="82"/>
    <n v="78"/>
    <x v="150"/>
    <s v="Excellent"/>
    <s v="Pass"/>
  </r>
  <r>
    <x v="0"/>
    <s v="group C"/>
    <s v="bachelor's degree"/>
    <s v="free/reduced"/>
    <s v="none"/>
    <n v="74"/>
    <n v="80"/>
    <n v="78"/>
    <x v="71"/>
    <s v="Good"/>
    <s v="Pass"/>
  </r>
  <r>
    <x v="1"/>
    <s v="group C"/>
    <s v="some college"/>
    <s v="standard"/>
    <s v="none"/>
    <n v="63"/>
    <n v="62"/>
    <n v="64"/>
    <x v="101"/>
    <s v="Good"/>
    <s v="Pass"/>
  </r>
  <r>
    <x v="1"/>
    <s v="group C"/>
    <s v="high school"/>
    <s v="free/reduced"/>
    <s v="none"/>
    <n v="47"/>
    <n v="56"/>
    <n v="51"/>
    <x v="1"/>
    <s v="Average"/>
    <s v="Pass"/>
  </r>
  <r>
    <x v="1"/>
    <s v="group C"/>
    <s v="some college"/>
    <s v="free/reduced"/>
    <s v="none"/>
    <n v="13"/>
    <n v="29"/>
    <n v="23"/>
    <x v="151"/>
    <s v="Poor"/>
    <s v="Fail"/>
  </r>
  <r>
    <x v="0"/>
    <s v="group D"/>
    <s v="some college"/>
    <s v="free/reduced"/>
    <s v="none"/>
    <n v="67"/>
    <n v="58"/>
    <n v="56"/>
    <x v="16"/>
    <s v="Good"/>
    <s v="Pass"/>
  </r>
  <r>
    <x v="0"/>
    <s v="group C"/>
    <s v="some high school"/>
    <s v="standard"/>
    <s v="none"/>
    <n v="57"/>
    <n v="59"/>
    <n v="54"/>
    <x v="40"/>
    <s v="Average"/>
    <s v="Pass"/>
  </r>
  <r>
    <x v="1"/>
    <s v="group B"/>
    <s v="some high school"/>
    <s v="standard"/>
    <s v="none"/>
    <n v="64"/>
    <n v="78"/>
    <n v="83"/>
    <x v="28"/>
    <s v="Good"/>
    <s v="Pass"/>
  </r>
  <r>
    <x v="1"/>
    <s v="group D"/>
    <s v="associate's degree"/>
    <s v="standard"/>
    <s v="none"/>
    <n v="85"/>
    <n v="100"/>
    <n v="100"/>
    <x v="152"/>
    <s v="Excellent"/>
    <s v="Pass"/>
  </r>
  <r>
    <x v="1"/>
    <s v="group B"/>
    <s v="associate's degree"/>
    <s v="standard"/>
    <s v="completed"/>
    <n v="70"/>
    <n v="80"/>
    <n v="86"/>
    <x v="55"/>
    <s v="Good"/>
    <s v="Pass"/>
  </r>
  <r>
    <x v="0"/>
    <s v="group B"/>
    <s v="bachelor's degree"/>
    <s v="standard"/>
    <s v="completed"/>
    <n v="90"/>
    <n v="73"/>
    <n v="83"/>
    <x v="131"/>
    <s v="Excellent"/>
    <s v="Pass"/>
  </r>
  <r>
    <x v="1"/>
    <s v="group A"/>
    <s v="some college"/>
    <s v="free/reduced"/>
    <s v="completed"/>
    <n v="53"/>
    <n v="70"/>
    <n v="69"/>
    <x v="119"/>
    <s v="Good"/>
    <s v="Pass"/>
  </r>
  <r>
    <x v="0"/>
    <s v="group C"/>
    <s v="some college"/>
    <s v="standard"/>
    <s v="completed"/>
    <n v="74"/>
    <n v="73"/>
    <n v="75"/>
    <x v="124"/>
    <s v="Good"/>
    <s v="Pass"/>
  </r>
  <r>
    <x v="0"/>
    <s v="group A"/>
    <s v="associate's degree"/>
    <s v="standard"/>
    <s v="completed"/>
    <n v="61"/>
    <n v="71"/>
    <n v="67"/>
    <x v="25"/>
    <s v="Good"/>
    <s v="Pass"/>
  </r>
  <r>
    <x v="1"/>
    <s v="group C"/>
    <s v="some high school"/>
    <s v="standard"/>
    <s v="completed"/>
    <n v="55"/>
    <n v="74"/>
    <n v="73"/>
    <x v="112"/>
    <s v="Good"/>
    <s v="Pass"/>
  </r>
  <r>
    <x v="1"/>
    <s v="group B"/>
    <s v="some college"/>
    <s v="standard"/>
    <s v="completed"/>
    <n v="65"/>
    <n v="63"/>
    <n v="66"/>
    <x v="103"/>
    <s v="Good"/>
    <s v="Pass"/>
  </r>
  <r>
    <x v="1"/>
    <s v="group A"/>
    <s v="high school"/>
    <s v="standard"/>
    <s v="none"/>
    <n v="77"/>
    <n v="77"/>
    <n v="79"/>
    <x v="126"/>
    <s v="Good"/>
    <s v="Pass"/>
  </r>
  <r>
    <x v="0"/>
    <s v="group C"/>
    <s v="associate's degree"/>
    <s v="standard"/>
    <s v="none"/>
    <n v="74"/>
    <n v="61"/>
    <n v="56"/>
    <x v="115"/>
    <s v="Good"/>
    <s v="Pass"/>
  </r>
  <r>
    <x v="0"/>
    <s v="group D"/>
    <s v="some college"/>
    <s v="standard"/>
    <s v="none"/>
    <n v="94"/>
    <n v="92"/>
    <n v="85"/>
    <x v="89"/>
    <s v="Excellent"/>
    <s v="Pass"/>
  </r>
  <r>
    <x v="1"/>
    <s v="group B"/>
    <s v="associate's degree"/>
    <s v="standard"/>
    <s v="completed"/>
    <n v="54"/>
    <n v="64"/>
    <n v="68"/>
    <x v="33"/>
    <s v="Good"/>
    <s v="Pass"/>
  </r>
  <r>
    <x v="0"/>
    <s v="group A"/>
    <s v="high school"/>
    <s v="standard"/>
    <s v="none"/>
    <n v="52"/>
    <n v="49"/>
    <n v="43"/>
    <x v="117"/>
    <s v="Average"/>
    <s v="Pass"/>
  </r>
  <r>
    <x v="0"/>
    <s v="group D"/>
    <s v="some college"/>
    <s v="standard"/>
    <s v="none"/>
    <n v="73"/>
    <n v="75"/>
    <n v="71"/>
    <x v="4"/>
    <s v="Good"/>
    <s v="Pass"/>
  </r>
  <r>
    <x v="0"/>
    <s v="group C"/>
    <s v="high school"/>
    <s v="standard"/>
    <s v="none"/>
    <n v="81"/>
    <n v="72"/>
    <n v="58"/>
    <x v="118"/>
    <s v="Good"/>
    <s v="Pass"/>
  </r>
  <r>
    <x v="1"/>
    <s v="group B"/>
    <s v="bachelor's degree"/>
    <s v="free/reduced"/>
    <s v="none"/>
    <n v="62"/>
    <n v="75"/>
    <n v="72"/>
    <x v="32"/>
    <s v="Good"/>
    <s v="Pass"/>
  </r>
  <r>
    <x v="1"/>
    <s v="group C"/>
    <s v="master's degree"/>
    <s v="free/reduced"/>
    <s v="none"/>
    <n v="55"/>
    <n v="60"/>
    <n v="61"/>
    <x v="148"/>
    <s v="Average"/>
    <s v="Pass"/>
  </r>
  <r>
    <x v="0"/>
    <s v="group C"/>
    <s v="some high school"/>
    <s v="free/reduced"/>
    <s v="completed"/>
    <n v="55"/>
    <n v="61"/>
    <n v="61"/>
    <x v="70"/>
    <s v="Average"/>
    <s v="Pass"/>
  </r>
  <r>
    <x v="1"/>
    <s v="group D"/>
    <s v="some high school"/>
    <s v="standard"/>
    <s v="none"/>
    <n v="61"/>
    <n v="62"/>
    <n v="61"/>
    <x v="6"/>
    <s v="Good"/>
    <s v="Pass"/>
  </r>
  <r>
    <x v="0"/>
    <s v="group E"/>
    <s v="high school"/>
    <s v="standard"/>
    <s v="none"/>
    <n v="75"/>
    <n v="70"/>
    <n v="64"/>
    <x v="32"/>
    <s v="Good"/>
    <s v="Pass"/>
  </r>
  <r>
    <x v="0"/>
    <s v="group E"/>
    <s v="some college"/>
    <s v="free/reduced"/>
    <s v="none"/>
    <n v="79"/>
    <n v="65"/>
    <n v="59"/>
    <x v="52"/>
    <s v="Good"/>
    <s v="Pass"/>
  </r>
  <r>
    <x v="1"/>
    <s v="group C"/>
    <s v="some high school"/>
    <s v="standard"/>
    <s v="none"/>
    <n v="70"/>
    <n v="70"/>
    <n v="68"/>
    <x v="34"/>
    <s v="Good"/>
    <s v="Pass"/>
  </r>
  <r>
    <x v="0"/>
    <s v="group A"/>
    <s v="some college"/>
    <s v="standard"/>
    <s v="none"/>
    <n v="72"/>
    <n v="65"/>
    <n v="59"/>
    <x v="92"/>
    <s v="Good"/>
    <s v="Pass"/>
  </r>
  <r>
    <x v="1"/>
    <s v="group C"/>
    <s v="some high school"/>
    <s v="free/reduced"/>
    <s v="none"/>
    <n v="38"/>
    <n v="46"/>
    <n v="33"/>
    <x v="153"/>
    <s v="Poor"/>
    <s v="Fail"/>
  </r>
  <r>
    <x v="1"/>
    <s v="group A"/>
    <s v="bachelor's degree"/>
    <s v="standard"/>
    <s v="none"/>
    <n v="57"/>
    <n v="71"/>
    <n v="63"/>
    <x v="115"/>
    <s v="Good"/>
    <s v="Pass"/>
  </r>
  <r>
    <x v="0"/>
    <s v="group D"/>
    <s v="some high school"/>
    <s v="standard"/>
    <s v="none"/>
    <n v="76"/>
    <n v="71"/>
    <n v="70"/>
    <x v="154"/>
    <s v="Good"/>
    <s v="Pass"/>
  </r>
  <r>
    <x v="0"/>
    <s v="group C"/>
    <s v="some college"/>
    <s v="free/reduced"/>
    <s v="none"/>
    <n v="45"/>
    <n v="45"/>
    <n v="38"/>
    <x v="155"/>
    <s v="Average"/>
    <s v="Pass"/>
  </r>
  <r>
    <x v="0"/>
    <s v="group D"/>
    <s v="associate's degree"/>
    <s v="standard"/>
    <s v="none"/>
    <n v="77"/>
    <n v="73"/>
    <n v="74"/>
    <x v="144"/>
    <s v="Good"/>
    <s v="Pass"/>
  </r>
  <r>
    <x v="0"/>
    <s v="group C"/>
    <s v="high school"/>
    <s v="standard"/>
    <s v="none"/>
    <n v="40"/>
    <n v="39"/>
    <n v="30"/>
    <x v="156"/>
    <s v="Poor"/>
    <s v="Fail"/>
  </r>
  <r>
    <x v="1"/>
    <s v="group E"/>
    <s v="some college"/>
    <s v="standard"/>
    <s v="none"/>
    <n v="78"/>
    <n v="83"/>
    <n v="78"/>
    <x v="121"/>
    <s v="Good"/>
    <s v="Pass"/>
  </r>
  <r>
    <x v="1"/>
    <s v="group A"/>
    <s v="master's degree"/>
    <s v="free/reduced"/>
    <s v="none"/>
    <n v="63"/>
    <n v="65"/>
    <n v="66"/>
    <x v="103"/>
    <s v="Good"/>
    <s v="Pass"/>
  </r>
  <r>
    <x v="0"/>
    <s v="group C"/>
    <s v="associate's degree"/>
    <s v="standard"/>
    <s v="none"/>
    <n v="83"/>
    <n v="70"/>
    <n v="73"/>
    <x v="66"/>
    <s v="Good"/>
    <s v="Pass"/>
  </r>
  <r>
    <x v="0"/>
    <s v="group C"/>
    <s v="associate's degree"/>
    <s v="free/reduced"/>
    <s v="none"/>
    <n v="55"/>
    <n v="52"/>
    <n v="47"/>
    <x v="1"/>
    <s v="Average"/>
    <s v="Pass"/>
  </r>
  <r>
    <x v="0"/>
    <s v="group B"/>
    <s v="some college"/>
    <s v="standard"/>
    <s v="completed"/>
    <n v="88"/>
    <n v="78"/>
    <n v="76"/>
    <x v="150"/>
    <s v="Excellent"/>
    <s v="Pass"/>
  </r>
  <r>
    <x v="0"/>
    <s v="group C"/>
    <s v="bachelor's degree"/>
    <s v="standard"/>
    <s v="none"/>
    <n v="82"/>
    <n v="83"/>
    <n v="85"/>
    <x v="100"/>
    <s v="Excellent"/>
    <s v="Pass"/>
  </r>
  <r>
    <x v="0"/>
    <s v="group E"/>
    <s v="bachelor's degree"/>
    <s v="standard"/>
    <s v="none"/>
    <n v="86"/>
    <n v="71"/>
    <n v="71"/>
    <x v="109"/>
    <s v="Good"/>
    <s v="Pass"/>
  </r>
  <r>
    <x v="1"/>
    <s v="group C"/>
    <s v="associate's degree"/>
    <s v="free/reduced"/>
    <s v="none"/>
    <n v="61"/>
    <n v="74"/>
    <n v="72"/>
    <x v="95"/>
    <s v="Good"/>
    <s v="Pass"/>
  </r>
  <r>
    <x v="1"/>
    <s v="group D"/>
    <s v="some college"/>
    <s v="standard"/>
    <s v="completed"/>
    <n v="78"/>
    <n v="85"/>
    <n v="93"/>
    <x v="31"/>
    <s v="Excellent"/>
    <s v="Pass"/>
  </r>
  <r>
    <x v="0"/>
    <s v="group C"/>
    <s v="associate's degree"/>
    <s v="standard"/>
    <s v="none"/>
    <n v="67"/>
    <n v="63"/>
    <n v="66"/>
    <x v="92"/>
    <s v="Good"/>
    <s v="Pass"/>
  </r>
  <r>
    <x v="1"/>
    <s v="group E"/>
    <s v="some high school"/>
    <s v="standard"/>
    <s v="none"/>
    <n v="83"/>
    <n v="87"/>
    <n v="83"/>
    <x v="13"/>
    <s v="Excellent"/>
    <s v="Pass"/>
  </r>
  <r>
    <x v="0"/>
    <s v="group C"/>
    <s v="some high school"/>
    <s v="standard"/>
    <s v="none"/>
    <n v="68"/>
    <n v="74"/>
    <n v="69"/>
    <x v="118"/>
    <s v="Good"/>
    <s v="Pass"/>
  </r>
  <r>
    <x v="0"/>
    <s v="group C"/>
    <s v="some college"/>
    <s v="standard"/>
    <s v="none"/>
    <n v="53"/>
    <n v="52"/>
    <n v="44"/>
    <x v="107"/>
    <s v="Average"/>
    <s v="Pass"/>
  </r>
  <r>
    <x v="0"/>
    <s v="group D"/>
    <s v="associate's degree"/>
    <s v="standard"/>
    <s v="none"/>
    <n v="91"/>
    <n v="88"/>
    <n v="90"/>
    <x v="102"/>
    <s v="Excellent"/>
    <s v="Pass"/>
  </r>
  <r>
    <x v="0"/>
    <s v="group B"/>
    <s v="associate's degree"/>
    <s v="free/reduced"/>
    <s v="none"/>
    <n v="67"/>
    <n v="66"/>
    <n v="66"/>
    <x v="25"/>
    <s v="Good"/>
    <s v="Pass"/>
  </r>
  <r>
    <x v="1"/>
    <s v="group C"/>
    <s v="high school"/>
    <s v="standard"/>
    <s v="completed"/>
    <n v="53"/>
    <n v="64"/>
    <n v="62"/>
    <x v="143"/>
    <s v="Average"/>
    <s v="Pass"/>
  </r>
  <r>
    <x v="1"/>
    <s v="group C"/>
    <s v="master's degree"/>
    <s v="standard"/>
    <s v="completed"/>
    <n v="86"/>
    <n v="100"/>
    <n v="100"/>
    <x v="130"/>
    <s v="Excellent"/>
    <s v="Pass"/>
  </r>
  <r>
    <x v="0"/>
    <s v="group E"/>
    <s v="some high school"/>
    <s v="free/reduced"/>
    <s v="completed"/>
    <n v="75"/>
    <n v="70"/>
    <n v="61"/>
    <x v="145"/>
    <s v="Good"/>
    <s v="Pass"/>
  </r>
  <r>
    <x v="0"/>
    <s v="group C"/>
    <s v="some college"/>
    <s v="standard"/>
    <s v="none"/>
    <n v="55"/>
    <n v="38"/>
    <n v="35"/>
    <x v="155"/>
    <s v="Average"/>
    <s v="Pass"/>
  </r>
  <r>
    <x v="0"/>
    <s v="group D"/>
    <s v="bachelor's degree"/>
    <s v="standard"/>
    <s v="completed"/>
    <n v="93"/>
    <n v="86"/>
    <n v="95"/>
    <x v="65"/>
    <s v="Excellent"/>
    <s v="Pass"/>
  </r>
  <r>
    <x v="1"/>
    <s v="group E"/>
    <s v="high school"/>
    <s v="standard"/>
    <s v="none"/>
    <n v="62"/>
    <n v="71"/>
    <n v="66"/>
    <x v="25"/>
    <s v="Good"/>
    <s v="Pass"/>
  </r>
  <r>
    <x v="0"/>
    <s v="group C"/>
    <s v="some college"/>
    <s v="free/reduced"/>
    <s v="none"/>
    <n v="83"/>
    <n v="76"/>
    <n v="71"/>
    <x v="75"/>
    <s v="Good"/>
    <s v="Pass"/>
  </r>
  <r>
    <x v="0"/>
    <s v="group D"/>
    <s v="some high school"/>
    <s v="standard"/>
    <s v="none"/>
    <n v="73"/>
    <n v="72"/>
    <n v="64"/>
    <x v="32"/>
    <s v="Good"/>
    <s v="Pass"/>
  </r>
  <r>
    <x v="1"/>
    <s v="group C"/>
    <s v="high school"/>
    <s v="free/reduced"/>
    <s v="none"/>
    <n v="57"/>
    <n v="52"/>
    <n v="53"/>
    <x v="69"/>
    <s v="Average"/>
    <s v="Pass"/>
  </r>
  <r>
    <x v="1"/>
    <s v="group C"/>
    <s v="some college"/>
    <s v="standard"/>
    <s v="none"/>
    <n v="70"/>
    <n v="75"/>
    <n v="75"/>
    <x v="62"/>
    <s v="Good"/>
    <s v="Pass"/>
  </r>
  <r>
    <x v="1"/>
    <s v="group B"/>
    <s v="high school"/>
    <s v="standard"/>
    <s v="completed"/>
    <n v="55"/>
    <n v="62"/>
    <n v="64"/>
    <x v="16"/>
    <s v="Good"/>
    <s v="Pass"/>
  </r>
  <r>
    <x v="0"/>
    <s v="group C"/>
    <s v="high school"/>
    <s v="standard"/>
    <s v="none"/>
    <n v="65"/>
    <n v="56"/>
    <n v="51"/>
    <x v="120"/>
    <s v="Average"/>
    <s v="Pass"/>
  </r>
  <r>
    <x v="1"/>
    <s v="group C"/>
    <s v="some high school"/>
    <s v="standard"/>
    <s v="completed"/>
    <n v="76"/>
    <n v="85"/>
    <n v="88"/>
    <x v="11"/>
    <s v="Excellent"/>
    <s v="Pass"/>
  </r>
  <r>
    <x v="0"/>
    <s v="group C"/>
    <s v="master's degree"/>
    <s v="free/reduced"/>
    <s v="none"/>
    <n v="59"/>
    <n v="47"/>
    <n v="46"/>
    <x v="139"/>
    <s v="Average"/>
    <s v="Pass"/>
  </r>
  <r>
    <x v="0"/>
    <s v="group C"/>
    <s v="associate's degree"/>
    <s v="standard"/>
    <s v="completed"/>
    <n v="74"/>
    <n v="73"/>
    <n v="77"/>
    <x v="144"/>
    <s v="Good"/>
    <s v="Pass"/>
  </r>
  <r>
    <x v="0"/>
    <s v="group B"/>
    <s v="some high school"/>
    <s v="standard"/>
    <s v="none"/>
    <n v="65"/>
    <n v="59"/>
    <n v="60"/>
    <x v="6"/>
    <s v="Good"/>
    <s v="Pass"/>
  </r>
  <r>
    <x v="0"/>
    <s v="group B"/>
    <s v="some college"/>
    <s v="standard"/>
    <s v="completed"/>
    <n v="89"/>
    <n v="87"/>
    <n v="89"/>
    <x v="7"/>
    <s v="Excellent"/>
    <s v="Pass"/>
  </r>
  <r>
    <x v="1"/>
    <s v="group B"/>
    <s v="master's degree"/>
    <s v="standard"/>
    <s v="none"/>
    <n v="71"/>
    <n v="82"/>
    <n v="82"/>
    <x v="127"/>
    <s v="Good"/>
    <s v="Pass"/>
  </r>
  <r>
    <x v="0"/>
    <s v="group C"/>
    <s v="some college"/>
    <s v="free/reduced"/>
    <s v="completed"/>
    <n v="63"/>
    <n v="69"/>
    <n v="59"/>
    <x v="115"/>
    <s v="Good"/>
    <s v="Pass"/>
  </r>
  <r>
    <x v="0"/>
    <s v="group C"/>
    <s v="some high school"/>
    <s v="standard"/>
    <s v="completed"/>
    <n v="57"/>
    <n v="55"/>
    <n v="60"/>
    <x v="120"/>
    <s v="Average"/>
    <s v="Pass"/>
  </r>
  <r>
    <x v="0"/>
    <s v="group B"/>
    <s v="some college"/>
    <s v="free/reduced"/>
    <s v="completed"/>
    <n v="56"/>
    <n v="67"/>
    <n v="56"/>
    <x v="143"/>
    <s v="Average"/>
    <s v="Pass"/>
  </r>
  <r>
    <x v="0"/>
    <s v="group A"/>
    <s v="some high school"/>
    <s v="free/reduced"/>
    <s v="completed"/>
    <n v="49"/>
    <n v="44"/>
    <n v="41"/>
    <x v="8"/>
    <s v="Average"/>
    <s v="Pass"/>
  </r>
  <r>
    <x v="1"/>
    <s v="group C"/>
    <s v="some college"/>
    <s v="free/reduced"/>
    <s v="completed"/>
    <n v="28"/>
    <n v="44"/>
    <n v="50"/>
    <x v="157"/>
    <s v="Average"/>
    <s v="Pass"/>
  </r>
  <r>
    <x v="1"/>
    <s v="group C"/>
    <s v="bachelor's degree"/>
    <s v="free/reduced"/>
    <s v="none"/>
    <n v="69"/>
    <n v="73"/>
    <n v="71"/>
    <x v="21"/>
    <s v="Good"/>
    <s v="Pass"/>
  </r>
  <r>
    <x v="1"/>
    <s v="group D"/>
    <s v="some high school"/>
    <s v="free/reduced"/>
    <s v="none"/>
    <n v="49"/>
    <n v="62"/>
    <n v="60"/>
    <x v="82"/>
    <s v="Average"/>
    <s v="Pass"/>
  </r>
  <r>
    <x v="0"/>
    <s v="group B"/>
    <s v="some high school"/>
    <s v="standard"/>
    <s v="completed"/>
    <n v="67"/>
    <n v="62"/>
    <n v="58"/>
    <x v="14"/>
    <s v="Good"/>
    <s v="Pass"/>
  </r>
  <r>
    <x v="1"/>
    <s v="group B"/>
    <s v="some college"/>
    <s v="free/reduced"/>
    <s v="completed"/>
    <n v="74"/>
    <n v="85"/>
    <n v="82"/>
    <x v="77"/>
    <s v="Excellent"/>
    <s v="Pass"/>
  </r>
  <r>
    <x v="1"/>
    <s v="group C"/>
    <s v="bachelor's degree"/>
    <s v="standard"/>
    <s v="completed"/>
    <n v="47"/>
    <n v="67"/>
    <n v="63"/>
    <x v="70"/>
    <s v="Average"/>
    <s v="Pass"/>
  </r>
  <r>
    <x v="1"/>
    <s v="group C"/>
    <s v="some college"/>
    <s v="standard"/>
    <s v="none"/>
    <n v="63"/>
    <n v="63"/>
    <n v="69"/>
    <x v="104"/>
    <s v="Good"/>
    <s v="Pass"/>
  </r>
  <r>
    <x v="0"/>
    <s v="group C"/>
    <s v="some college"/>
    <s v="standard"/>
    <s v="none"/>
    <n v="73"/>
    <n v="51"/>
    <n v="53"/>
    <x v="70"/>
    <s v="Average"/>
    <s v="Pass"/>
  </r>
  <r>
    <x v="1"/>
    <s v="group D"/>
    <s v="some college"/>
    <s v="standard"/>
    <s v="none"/>
    <n v="91"/>
    <n v="94"/>
    <n v="96"/>
    <x v="125"/>
    <s v="Excellent"/>
    <s v="Pass"/>
  </r>
  <r>
    <x v="0"/>
    <s v="group B"/>
    <s v="some college"/>
    <s v="standard"/>
    <s v="none"/>
    <n v="80"/>
    <n v="87"/>
    <n v="79"/>
    <x v="131"/>
    <s v="Excellent"/>
    <s v="Pass"/>
  </r>
  <r>
    <x v="1"/>
    <s v="group C"/>
    <s v="associate's degree"/>
    <s v="standard"/>
    <s v="none"/>
    <n v="66"/>
    <n v="73"/>
    <n v="68"/>
    <x v="95"/>
    <s v="Good"/>
    <s v="Pass"/>
  </r>
  <r>
    <x v="0"/>
    <s v="group B"/>
    <s v="some college"/>
    <s v="standard"/>
    <s v="none"/>
    <n v="52"/>
    <n v="48"/>
    <n v="43"/>
    <x v="134"/>
    <s v="Average"/>
    <s v="Pass"/>
  </r>
  <r>
    <x v="1"/>
    <s v="group B"/>
    <s v="some college"/>
    <s v="standard"/>
    <s v="none"/>
    <n v="65"/>
    <n v="71"/>
    <n v="65"/>
    <x v="30"/>
    <s v="Good"/>
    <s v="Pass"/>
  </r>
  <r>
    <x v="0"/>
    <s v="group D"/>
    <s v="some college"/>
    <s v="standard"/>
    <s v="completed"/>
    <n v="83"/>
    <n v="75"/>
    <n v="71"/>
    <x v="76"/>
    <s v="Good"/>
    <s v="Pass"/>
  </r>
  <r>
    <x v="1"/>
    <s v="group C"/>
    <s v="some high school"/>
    <s v="free/reduced"/>
    <s v="none"/>
    <n v="80"/>
    <n v="85"/>
    <n v="78"/>
    <x v="27"/>
    <s v="Excellent"/>
    <s v="Pass"/>
  </r>
  <r>
    <x v="0"/>
    <s v="group E"/>
    <s v="bachelor's degree"/>
    <s v="free/reduced"/>
    <s v="none"/>
    <n v="68"/>
    <n v="68"/>
    <n v="59"/>
    <x v="104"/>
    <s v="Good"/>
    <s v="Pass"/>
  </r>
  <r>
    <x v="0"/>
    <s v="group C"/>
    <s v="some college"/>
    <s v="free/reduced"/>
    <s v="completed"/>
    <n v="68"/>
    <n v="73"/>
    <n v="68"/>
    <x v="32"/>
    <s v="Good"/>
    <s v="Pass"/>
  </r>
  <r>
    <x v="0"/>
    <s v="group C"/>
    <s v="associate's degree"/>
    <s v="free/reduced"/>
    <s v="none"/>
    <n v="62"/>
    <n v="43"/>
    <n v="45"/>
    <x v="149"/>
    <s v="Average"/>
    <s v="Pass"/>
  </r>
  <r>
    <x v="1"/>
    <s v="group B"/>
    <s v="some high school"/>
    <s v="standard"/>
    <s v="none"/>
    <n v="76"/>
    <n v="88"/>
    <n v="84"/>
    <x v="35"/>
    <s v="Excellent"/>
    <s v="Pass"/>
  </r>
  <r>
    <x v="1"/>
    <s v="group C"/>
    <s v="bachelor's degree"/>
    <s v="free/reduced"/>
    <s v="none"/>
    <n v="77"/>
    <n v="79"/>
    <n v="83"/>
    <x v="121"/>
    <s v="Good"/>
    <s v="Pass"/>
  </r>
  <r>
    <x v="1"/>
    <s v="group E"/>
    <s v="master's degree"/>
    <s v="free/reduced"/>
    <s v="none"/>
    <n v="83"/>
    <n v="81"/>
    <n v="83"/>
    <x v="19"/>
    <s v="Excellent"/>
    <s v="Pass"/>
  </r>
  <r>
    <x v="1"/>
    <s v="group C"/>
    <s v="some college"/>
    <s v="free/reduced"/>
    <s v="none"/>
    <n v="71"/>
    <n v="78"/>
    <n v="82"/>
    <x v="44"/>
    <s v="Good"/>
    <s v="Pass"/>
  </r>
  <r>
    <x v="0"/>
    <s v="group D"/>
    <s v="some college"/>
    <s v="free/reduced"/>
    <s v="completed"/>
    <n v="86"/>
    <n v="91"/>
    <n v="89"/>
    <x v="97"/>
    <s v="Excellent"/>
    <s v="Pass"/>
  </r>
  <r>
    <x v="0"/>
    <s v="group B"/>
    <s v="master's degree"/>
    <s v="standard"/>
    <s v="none"/>
    <n v="93"/>
    <n v="96"/>
    <n v="96"/>
    <x v="152"/>
    <s v="Excellent"/>
    <s v="Pass"/>
  </r>
  <r>
    <x v="1"/>
    <s v="group B"/>
    <s v="associate's degree"/>
    <s v="free/reduced"/>
    <s v="none"/>
    <n v="60"/>
    <n v="64"/>
    <n v="60"/>
    <x v="6"/>
    <s v="Good"/>
    <s v="Pass"/>
  </r>
  <r>
    <x v="1"/>
    <s v="group D"/>
    <s v="some high school"/>
    <s v="standard"/>
    <s v="none"/>
    <n v="57"/>
    <n v="56"/>
    <n v="58"/>
    <x v="82"/>
    <s v="Average"/>
    <s v="Pass"/>
  </r>
  <r>
    <x v="0"/>
    <s v="group C"/>
    <s v="bachelor's degree"/>
    <s v="standard"/>
    <s v="none"/>
    <n v="84"/>
    <n v="79"/>
    <n v="74"/>
    <x v="48"/>
    <s v="Good"/>
    <s v="Pass"/>
  </r>
  <r>
    <x v="1"/>
    <s v="group D"/>
    <s v="bachelor's degree"/>
    <s v="standard"/>
    <s v="none"/>
    <n v="66"/>
    <n v="71"/>
    <n v="75"/>
    <x v="88"/>
    <s v="Good"/>
    <s v="Pass"/>
  </r>
  <r>
    <x v="0"/>
    <s v="group D"/>
    <s v="master's degree"/>
    <s v="standard"/>
    <s v="none"/>
    <n v="85"/>
    <n v="69"/>
    <n v="74"/>
    <x v="109"/>
    <s v="Good"/>
    <s v="Pass"/>
  </r>
  <r>
    <x v="1"/>
    <s v="group D"/>
    <s v="master's degree"/>
    <s v="standard"/>
    <s v="completed"/>
    <n v="57"/>
    <n v="68"/>
    <n v="76"/>
    <x v="30"/>
    <s v="Good"/>
    <s v="Pass"/>
  </r>
  <r>
    <x v="1"/>
    <s v="group C"/>
    <s v="some high school"/>
    <s v="standard"/>
    <s v="none"/>
    <n v="41"/>
    <n v="49"/>
    <n v="49"/>
    <x v="158"/>
    <s v="Average"/>
    <s v="Pass"/>
  </r>
  <r>
    <x v="1"/>
    <s v="group C"/>
    <s v="some high school"/>
    <s v="standard"/>
    <s v="none"/>
    <n v="75"/>
    <n v="76"/>
    <n v="76"/>
    <x v="59"/>
    <s v="Good"/>
    <s v="Pass"/>
  </r>
  <r>
    <x v="0"/>
    <s v="group D"/>
    <s v="high school"/>
    <s v="free/reduced"/>
    <s v="none"/>
    <n v="65"/>
    <n v="63"/>
    <n v="60"/>
    <x v="67"/>
    <s v="Good"/>
    <s v="Pass"/>
  </r>
  <r>
    <x v="0"/>
    <s v="group E"/>
    <s v="some college"/>
    <s v="standard"/>
    <s v="none"/>
    <n v="78"/>
    <n v="65"/>
    <n v="60"/>
    <x v="52"/>
    <s v="Good"/>
    <s v="Pass"/>
  </r>
  <r>
    <x v="1"/>
    <s v="group B"/>
    <s v="some high school"/>
    <s v="free/reduced"/>
    <s v="none"/>
    <n v="26"/>
    <n v="34"/>
    <n v="28"/>
    <x v="159"/>
    <s v="Poor"/>
    <s v="Fail"/>
  </r>
  <r>
    <x v="0"/>
    <s v="group E"/>
    <s v="some college"/>
    <s v="free/reduced"/>
    <s v="none"/>
    <n v="71"/>
    <n v="64"/>
    <n v="66"/>
    <x v="30"/>
    <s v="Good"/>
    <s v="Pass"/>
  </r>
  <r>
    <x v="0"/>
    <s v="group B"/>
    <s v="bachelor's degree"/>
    <s v="standard"/>
    <s v="completed"/>
    <n v="86"/>
    <n v="92"/>
    <n v="93"/>
    <x v="89"/>
    <s v="Excellent"/>
    <s v="Pass"/>
  </r>
  <r>
    <x v="0"/>
    <s v="group B"/>
    <s v="associate's degree"/>
    <s v="standard"/>
    <s v="completed"/>
    <n v="89"/>
    <n v="84"/>
    <n v="81"/>
    <x v="83"/>
    <s v="Excellent"/>
    <s v="Pass"/>
  </r>
  <r>
    <x v="1"/>
    <s v="group B"/>
    <s v="high school"/>
    <s v="free/reduced"/>
    <s v="none"/>
    <n v="53"/>
    <n v="64"/>
    <n v="63"/>
    <x v="39"/>
    <s v="Good"/>
    <s v="Pass"/>
  </r>
  <r>
    <x v="1"/>
    <s v="group C"/>
    <s v="associate's degree"/>
    <s v="standard"/>
    <s v="none"/>
    <n v="87"/>
    <n v="87"/>
    <n v="92"/>
    <x v="97"/>
    <s v="Excellent"/>
    <s v="Pass"/>
  </r>
  <r>
    <x v="0"/>
    <s v="group D"/>
    <s v="associate's degree"/>
    <s v="standard"/>
    <s v="none"/>
    <n v="71"/>
    <n v="57"/>
    <n v="59"/>
    <x v="14"/>
    <s v="Good"/>
    <s v="Pass"/>
  </r>
  <r>
    <x v="0"/>
    <s v="group D"/>
    <s v="high school"/>
    <s v="standard"/>
    <s v="none"/>
    <n v="77"/>
    <n v="80"/>
    <n v="72"/>
    <x v="76"/>
    <s v="Good"/>
    <s v="Pass"/>
  </r>
  <r>
    <x v="1"/>
    <s v="group C"/>
    <s v="high school"/>
    <s v="free/reduced"/>
    <s v="completed"/>
    <n v="43"/>
    <n v="48"/>
    <n v="53"/>
    <x v="117"/>
    <s v="Average"/>
    <s v="Pass"/>
  </r>
  <r>
    <x v="1"/>
    <s v="group C"/>
    <s v="associate's degree"/>
    <s v="standard"/>
    <s v="none"/>
    <n v="88"/>
    <n v="91"/>
    <n v="86"/>
    <x v="7"/>
    <s v="Excellent"/>
    <s v="Pass"/>
  </r>
  <r>
    <x v="0"/>
    <s v="group E"/>
    <s v="some high school"/>
    <s v="standard"/>
    <s v="none"/>
    <n v="86"/>
    <n v="76"/>
    <n v="63"/>
    <x v="28"/>
    <s v="Good"/>
    <s v="Pass"/>
  </r>
  <r>
    <x v="1"/>
    <s v="group E"/>
    <s v="some high school"/>
    <s v="free/reduced"/>
    <s v="completed"/>
    <n v="45"/>
    <n v="56"/>
    <n v="55"/>
    <x v="53"/>
    <s v="Average"/>
    <s v="Pass"/>
  </r>
  <r>
    <x v="0"/>
    <s v="group C"/>
    <s v="some college"/>
    <s v="standard"/>
    <s v="none"/>
    <n v="69"/>
    <n v="56"/>
    <n v="57"/>
    <x v="54"/>
    <s v="Good"/>
    <s v="Pass"/>
  </r>
  <r>
    <x v="1"/>
    <s v="group D"/>
    <s v="high school"/>
    <s v="standard"/>
    <s v="none"/>
    <n v="65"/>
    <n v="70"/>
    <n v="72"/>
    <x v="95"/>
    <s v="Good"/>
    <s v="Pass"/>
  </r>
  <r>
    <x v="0"/>
    <s v="group E"/>
    <s v="some college"/>
    <s v="free/reduced"/>
    <s v="none"/>
    <n v="81"/>
    <n v="79"/>
    <n v="71"/>
    <x v="44"/>
    <s v="Good"/>
    <s v="Pass"/>
  </r>
  <r>
    <x v="1"/>
    <s v="group A"/>
    <s v="some high school"/>
    <s v="standard"/>
    <s v="none"/>
    <n v="90"/>
    <n v="88"/>
    <n v="86"/>
    <x v="160"/>
    <s v="Excellent"/>
    <s v="Pass"/>
  </r>
  <r>
    <x v="1"/>
    <s v="group E"/>
    <s v="associate's degree"/>
    <s v="standard"/>
    <s v="none"/>
    <n v="78"/>
    <n v="72"/>
    <n v="71"/>
    <x v="12"/>
    <s v="Good"/>
    <s v="Pass"/>
  </r>
  <r>
    <x v="1"/>
    <s v="group C"/>
    <s v="master's degree"/>
    <s v="standard"/>
    <s v="completed"/>
    <n v="71"/>
    <n v="79"/>
    <n v="89"/>
    <x v="121"/>
    <s v="Good"/>
    <s v="Pass"/>
  </r>
  <r>
    <x v="1"/>
    <s v="group C"/>
    <s v="some high school"/>
    <s v="standard"/>
    <s v="none"/>
    <n v="75"/>
    <n v="80"/>
    <n v="72"/>
    <x v="59"/>
    <s v="Good"/>
    <s v="Pass"/>
  </r>
  <r>
    <x v="0"/>
    <s v="group C"/>
    <s v="bachelor's degree"/>
    <s v="free/reduced"/>
    <s v="none"/>
    <n v="70"/>
    <n v="60"/>
    <n v="56"/>
    <x v="33"/>
    <s v="Good"/>
    <s v="Pass"/>
  </r>
  <r>
    <x v="0"/>
    <s v="group B"/>
    <s v="associate's degree"/>
    <s v="standard"/>
    <s v="none"/>
    <n v="54"/>
    <n v="52"/>
    <n v="48"/>
    <x v="1"/>
    <s v="Average"/>
    <s v="Pass"/>
  </r>
  <r>
    <x v="0"/>
    <s v="group B"/>
    <s v="high school"/>
    <s v="standard"/>
    <s v="none"/>
    <n v="49"/>
    <n v="36"/>
    <n v="32"/>
    <x v="153"/>
    <s v="Poor"/>
    <s v="Fail"/>
  </r>
  <r>
    <x v="0"/>
    <s v="group B"/>
    <s v="associate's degree"/>
    <s v="free/reduced"/>
    <s v="completed"/>
    <n v="80"/>
    <n v="82"/>
    <n v="82"/>
    <x v="58"/>
    <s v="Excellent"/>
    <s v="Pass"/>
  </r>
  <r>
    <x v="1"/>
    <s v="group E"/>
    <s v="bachelor's degree"/>
    <s v="standard"/>
    <s v="none"/>
    <n v="78"/>
    <n v="89"/>
    <n v="93"/>
    <x v="129"/>
    <s v="Excellent"/>
    <s v="Pass"/>
  </r>
  <r>
    <x v="0"/>
    <s v="group C"/>
    <s v="bachelor's degree"/>
    <s v="standard"/>
    <s v="none"/>
    <n v="89"/>
    <n v="77"/>
    <n v="82"/>
    <x v="35"/>
    <s v="Excellent"/>
    <s v="Pass"/>
  </r>
  <r>
    <x v="1"/>
    <s v="group C"/>
    <s v="bachelor's degree"/>
    <s v="standard"/>
    <s v="completed"/>
    <n v="65"/>
    <n v="83"/>
    <n v="82"/>
    <x v="75"/>
    <s v="Good"/>
    <s v="Pass"/>
  </r>
  <r>
    <x v="0"/>
    <s v="group D"/>
    <s v="associate's degree"/>
    <s v="standard"/>
    <s v="none"/>
    <n v="78"/>
    <n v="74"/>
    <n v="71"/>
    <x v="3"/>
    <s v="Good"/>
    <s v="Pass"/>
  </r>
  <r>
    <x v="1"/>
    <s v="group D"/>
    <s v="high school"/>
    <s v="standard"/>
    <s v="none"/>
    <n v="69"/>
    <n v="85"/>
    <n v="78"/>
    <x v="71"/>
    <s v="Good"/>
    <s v="Pass"/>
  </r>
  <r>
    <x v="0"/>
    <s v="group D"/>
    <s v="some college"/>
    <s v="free/reduced"/>
    <s v="none"/>
    <n v="49"/>
    <n v="47"/>
    <n v="48"/>
    <x v="117"/>
    <s v="Average"/>
    <s v="Pass"/>
  </r>
  <r>
    <x v="1"/>
    <s v="group D"/>
    <s v="master's degree"/>
    <s v="free/reduced"/>
    <s v="none"/>
    <n v="50"/>
    <n v="64"/>
    <n v="66"/>
    <x v="39"/>
    <s v="Good"/>
    <s v="Pass"/>
  </r>
  <r>
    <x v="1"/>
    <s v="group E"/>
    <s v="some college"/>
    <s v="standard"/>
    <s v="none"/>
    <n v="79"/>
    <n v="76"/>
    <n v="71"/>
    <x v="66"/>
    <s v="Good"/>
    <s v="Pass"/>
  </r>
  <r>
    <x v="1"/>
    <s v="group D"/>
    <s v="some college"/>
    <s v="standard"/>
    <s v="completed"/>
    <n v="89"/>
    <n v="92"/>
    <n v="97"/>
    <x v="61"/>
    <s v="Excellent"/>
    <s v="Pass"/>
  </r>
  <r>
    <x v="0"/>
    <s v="group A"/>
    <s v="associate's degree"/>
    <s v="free/reduced"/>
    <s v="completed"/>
    <n v="48"/>
    <n v="61"/>
    <n v="59"/>
    <x v="113"/>
    <s v="Average"/>
    <s v="Pass"/>
  </r>
  <r>
    <x v="1"/>
    <s v="group A"/>
    <s v="bachelor's degree"/>
    <s v="standard"/>
    <s v="none"/>
    <n v="63"/>
    <n v="67"/>
    <n v="71"/>
    <x v="30"/>
    <s v="Good"/>
    <s v="Pass"/>
  </r>
  <r>
    <x v="1"/>
    <s v="group C"/>
    <s v="some college"/>
    <s v="standard"/>
    <s v="none"/>
    <n v="88"/>
    <n v="100"/>
    <n v="88"/>
    <x v="161"/>
    <s v="Excellent"/>
    <s v="Pass"/>
  </r>
  <r>
    <x v="1"/>
    <s v="group D"/>
    <s v="associate's degree"/>
    <s v="standard"/>
    <s v="none"/>
    <n v="66"/>
    <n v="73"/>
    <n v="73"/>
    <x v="88"/>
    <s v="Good"/>
    <s v="Pass"/>
  </r>
  <r>
    <x v="1"/>
    <s v="group B"/>
    <s v="some college"/>
    <s v="free/reduced"/>
    <s v="none"/>
    <n v="45"/>
    <n v="59"/>
    <n v="56"/>
    <x v="162"/>
    <s v="Average"/>
    <s v="Pass"/>
  </r>
  <r>
    <x v="1"/>
    <s v="group E"/>
    <s v="some high school"/>
    <s v="standard"/>
    <s v="completed"/>
    <n v="62"/>
    <n v="78"/>
    <n v="73"/>
    <x v="21"/>
    <s v="Good"/>
    <s v="Pass"/>
  </r>
  <r>
    <x v="0"/>
    <s v="group D"/>
    <s v="some college"/>
    <s v="free/reduced"/>
    <s v="completed"/>
    <n v="74"/>
    <n v="80"/>
    <n v="86"/>
    <x v="41"/>
    <s v="Excellent"/>
    <s v="Pass"/>
  </r>
  <r>
    <x v="1"/>
    <s v="group D"/>
    <s v="bachelor's degree"/>
    <s v="free/reduced"/>
    <s v="none"/>
    <n v="82"/>
    <n v="87"/>
    <n v="90"/>
    <x v="123"/>
    <s v="Excellent"/>
    <s v="Pass"/>
  </r>
  <r>
    <x v="0"/>
    <s v="group E"/>
    <s v="some college"/>
    <s v="free/reduced"/>
    <s v="completed"/>
    <n v="83"/>
    <n v="63"/>
    <n v="63"/>
    <x v="32"/>
    <s v="Good"/>
    <s v="Pass"/>
  </r>
  <r>
    <x v="1"/>
    <s v="group D"/>
    <s v="some high school"/>
    <s v="free/reduced"/>
    <s v="completed"/>
    <n v="60"/>
    <n v="72"/>
    <n v="76"/>
    <x v="34"/>
    <s v="Good"/>
    <s v="Pass"/>
  </r>
  <r>
    <x v="1"/>
    <s v="group D"/>
    <s v="high school"/>
    <s v="standard"/>
    <s v="none"/>
    <n v="66"/>
    <n v="73"/>
    <n v="72"/>
    <x v="118"/>
    <s v="Good"/>
    <s v="Pass"/>
  </r>
  <r>
    <x v="0"/>
    <s v="group C"/>
    <s v="bachelor's degree"/>
    <s v="free/reduced"/>
    <s v="none"/>
    <n v="76"/>
    <n v="66"/>
    <n v="68"/>
    <x v="47"/>
    <s v="Good"/>
    <s v="Pass"/>
  </r>
  <r>
    <x v="0"/>
    <s v="group B"/>
    <s v="associate's degree"/>
    <s v="standard"/>
    <s v="completed"/>
    <n v="75"/>
    <n v="74"/>
    <n v="76"/>
    <x v="28"/>
    <s v="Good"/>
    <s v="Pass"/>
  </r>
  <r>
    <x v="0"/>
    <s v="group B"/>
    <s v="some college"/>
    <s v="standard"/>
    <s v="completed"/>
    <n v="77"/>
    <n v="72"/>
    <n v="79"/>
    <x v="109"/>
    <s v="Good"/>
    <s v="Pass"/>
  </r>
  <r>
    <x v="1"/>
    <s v="group E"/>
    <s v="some college"/>
    <s v="free/reduced"/>
    <s v="none"/>
    <n v="82"/>
    <n v="88"/>
    <n v="86"/>
    <x v="31"/>
    <s v="Excellent"/>
    <s v="Pass"/>
  </r>
  <r>
    <x v="0"/>
    <s v="group C"/>
    <s v="associate's degree"/>
    <s v="standard"/>
    <s v="completed"/>
    <n v="63"/>
    <n v="59"/>
    <n v="60"/>
    <x v="54"/>
    <s v="Good"/>
    <s v="Pass"/>
  </r>
  <r>
    <x v="1"/>
    <s v="group D"/>
    <s v="high school"/>
    <s v="standard"/>
    <s v="none"/>
    <n v="70"/>
    <n v="85"/>
    <n v="85"/>
    <x v="41"/>
    <s v="Excellent"/>
    <s v="Pass"/>
  </r>
  <r>
    <x v="0"/>
    <s v="group D"/>
    <s v="associate's degree"/>
    <s v="standard"/>
    <s v="completed"/>
    <n v="84"/>
    <n v="71"/>
    <n v="76"/>
    <x v="44"/>
    <s v="Good"/>
    <s v="Pass"/>
  </r>
  <r>
    <x v="0"/>
    <s v="group C"/>
    <s v="high school"/>
    <s v="standard"/>
    <s v="completed"/>
    <n v="68"/>
    <n v="60"/>
    <n v="63"/>
    <x v="115"/>
    <s v="Good"/>
    <s v="Pass"/>
  </r>
  <r>
    <x v="0"/>
    <s v="group C"/>
    <s v="some college"/>
    <s v="free/reduced"/>
    <s v="none"/>
    <n v="56"/>
    <n v="58"/>
    <n v="50"/>
    <x v="163"/>
    <s v="Average"/>
    <s v="Pass"/>
  </r>
  <r>
    <x v="1"/>
    <s v="group C"/>
    <s v="associate's degree"/>
    <s v="free/reduced"/>
    <s v="none"/>
    <n v="37"/>
    <n v="46"/>
    <n v="43"/>
    <x v="164"/>
    <s v="Average"/>
    <s v="Pass"/>
  </r>
  <r>
    <x v="1"/>
    <s v="group D"/>
    <s v="some high school"/>
    <s v="standard"/>
    <s v="none"/>
    <n v="49"/>
    <n v="56"/>
    <n v="53"/>
    <x v="147"/>
    <s v="Average"/>
    <s v="Pass"/>
  </r>
  <r>
    <x v="1"/>
    <s v="group E"/>
    <s v="some college"/>
    <s v="standard"/>
    <s v="completed"/>
    <n v="100"/>
    <n v="100"/>
    <n v="100"/>
    <x v="94"/>
    <s v="Excellent"/>
    <s v="Pass"/>
  </r>
  <r>
    <x v="0"/>
    <s v="group D"/>
    <s v="some college"/>
    <s v="standard"/>
    <s v="none"/>
    <n v="83"/>
    <n v="68"/>
    <n v="65"/>
    <x v="5"/>
    <s v="Good"/>
    <s v="Pass"/>
  </r>
  <r>
    <x v="1"/>
    <s v="group E"/>
    <s v="master's degree"/>
    <s v="free/reduced"/>
    <s v="completed"/>
    <n v="92"/>
    <n v="100"/>
    <n v="98"/>
    <x v="110"/>
    <s v="Excellent"/>
    <s v="Pass"/>
  </r>
  <r>
    <x v="0"/>
    <s v="group E"/>
    <s v="master's degree"/>
    <s v="free/reduced"/>
    <s v="none"/>
    <n v="71"/>
    <n v="62"/>
    <n v="66"/>
    <x v="25"/>
    <s v="Good"/>
    <s v="Pass"/>
  </r>
  <r>
    <x v="0"/>
    <s v="group D"/>
    <s v="associate's degree"/>
    <s v="free/reduced"/>
    <s v="completed"/>
    <n v="72"/>
    <n v="76"/>
    <n v="73"/>
    <x v="12"/>
    <s v="Good"/>
    <s v="Pass"/>
  </r>
  <r>
    <x v="1"/>
    <s v="group D"/>
    <s v="bachelor's degree"/>
    <s v="free/reduced"/>
    <s v="none"/>
    <n v="37"/>
    <n v="53"/>
    <n v="48"/>
    <x v="24"/>
    <s v="Average"/>
    <s v="Pass"/>
  </r>
  <r>
    <x v="0"/>
    <s v="group C"/>
    <s v="bachelor's degree"/>
    <s v="free/reduced"/>
    <s v="none"/>
    <n v="35"/>
    <n v="43"/>
    <n v="35"/>
    <x v="165"/>
    <s v="Poor"/>
    <s v="Fail"/>
  </r>
  <r>
    <x v="0"/>
    <s v="group C"/>
    <s v="some college"/>
    <s v="free/reduced"/>
    <s v="none"/>
    <n v="69"/>
    <n v="68"/>
    <n v="62"/>
    <x v="25"/>
    <s v="Good"/>
    <s v="Pass"/>
  </r>
  <r>
    <x v="1"/>
    <s v="group C"/>
    <s v="bachelor's degree"/>
    <s v="standard"/>
    <s v="none"/>
    <n v="65"/>
    <n v="73"/>
    <n v="81"/>
    <x v="4"/>
    <s v="Good"/>
    <s v="Pass"/>
  </r>
  <r>
    <x v="0"/>
    <s v="group E"/>
    <s v="high school"/>
    <s v="free/reduced"/>
    <s v="none"/>
    <n v="56"/>
    <n v="48"/>
    <n v="36"/>
    <x v="79"/>
    <s v="Average"/>
    <s v="Pass"/>
  </r>
  <r>
    <x v="1"/>
    <s v="group D"/>
    <s v="high school"/>
    <s v="standard"/>
    <s v="none"/>
    <n v="40"/>
    <n v="46"/>
    <n v="57"/>
    <x v="134"/>
    <s v="Average"/>
    <s v="Pass"/>
  </r>
  <r>
    <x v="1"/>
    <s v="group E"/>
    <s v="high school"/>
    <s v="standard"/>
    <s v="none"/>
    <n v="60"/>
    <n v="62"/>
    <n v="60"/>
    <x v="54"/>
    <s v="Good"/>
    <s v="Pass"/>
  </r>
  <r>
    <x v="1"/>
    <s v="group C"/>
    <s v="some high school"/>
    <s v="standard"/>
    <s v="none"/>
    <n v="57"/>
    <n v="66"/>
    <n v="73"/>
    <x v="92"/>
    <s v="Good"/>
    <s v="Pass"/>
  </r>
  <r>
    <x v="1"/>
    <s v="group C"/>
    <s v="some high school"/>
    <s v="free/reduced"/>
    <s v="completed"/>
    <n v="58"/>
    <n v="62"/>
    <n v="66"/>
    <x v="33"/>
    <s v="Good"/>
    <s v="Pass"/>
  </r>
  <r>
    <x v="1"/>
    <s v="group D"/>
    <s v="some college"/>
    <s v="standard"/>
    <s v="completed"/>
    <n v="74"/>
    <n v="95"/>
    <n v="94"/>
    <x v="166"/>
    <s v="Excellent"/>
    <s v="Pass"/>
  </r>
  <r>
    <x v="1"/>
    <s v="group B"/>
    <s v="some college"/>
    <s v="standard"/>
    <s v="none"/>
    <n v="77"/>
    <n v="77"/>
    <n v="83"/>
    <x v="48"/>
    <s v="Good"/>
    <s v="Pass"/>
  </r>
  <r>
    <x v="0"/>
    <s v="group E"/>
    <s v="some college"/>
    <s v="free/reduced"/>
    <s v="none"/>
    <n v="66"/>
    <n v="57"/>
    <n v="53"/>
    <x v="148"/>
    <s v="Average"/>
    <s v="Pass"/>
  </r>
  <r>
    <x v="1"/>
    <s v="group D"/>
    <s v="some college"/>
    <s v="standard"/>
    <s v="completed"/>
    <n v="62"/>
    <n v="79"/>
    <n v="87"/>
    <x v="109"/>
    <s v="Good"/>
    <s v="Pass"/>
  </r>
  <r>
    <x v="0"/>
    <s v="group C"/>
    <s v="high school"/>
    <s v="free/reduced"/>
    <s v="none"/>
    <n v="29"/>
    <n v="38"/>
    <n v="27"/>
    <x v="167"/>
    <s v="Poor"/>
    <s v="Fail"/>
  </r>
  <r>
    <x v="1"/>
    <s v="group B"/>
    <s v="some college"/>
    <s v="standard"/>
    <s v="none"/>
    <n v="70"/>
    <n v="73"/>
    <n v="66"/>
    <x v="32"/>
    <s v="Good"/>
    <s v="Pass"/>
  </r>
  <r>
    <x v="0"/>
    <s v="group A"/>
    <s v="associate's degree"/>
    <s v="free/reduced"/>
    <s v="none"/>
    <n v="67"/>
    <n v="64"/>
    <n v="60"/>
    <x v="115"/>
    <s v="Good"/>
    <s v="Pass"/>
  </r>
  <r>
    <x v="1"/>
    <s v="group C"/>
    <s v="high school"/>
    <s v="standard"/>
    <s v="completed"/>
    <n v="81"/>
    <n v="91"/>
    <n v="94"/>
    <x v="97"/>
    <s v="Excellent"/>
    <s v="Pass"/>
  </r>
  <r>
    <x v="0"/>
    <s v="group C"/>
    <s v="associate's degree"/>
    <s v="free/reduced"/>
    <s v="none"/>
    <n v="56"/>
    <n v="50"/>
    <n v="43"/>
    <x v="107"/>
    <s v="Average"/>
    <s v="Pass"/>
  </r>
  <r>
    <x v="1"/>
    <s v="group D"/>
    <s v="some college"/>
    <s v="free/reduced"/>
    <s v="none"/>
    <n v="61"/>
    <n v="79"/>
    <n v="76"/>
    <x v="5"/>
    <s v="Good"/>
    <s v="Pass"/>
  </r>
  <r>
    <x v="1"/>
    <s v="group D"/>
    <s v="high school"/>
    <s v="free/reduced"/>
    <s v="completed"/>
    <n v="47"/>
    <n v="54"/>
    <n v="56"/>
    <x v="38"/>
    <s v="Average"/>
    <s v="Pass"/>
  </r>
  <r>
    <x v="0"/>
    <s v="group A"/>
    <s v="bachelor's degree"/>
    <s v="standard"/>
    <s v="completed"/>
    <n v="88"/>
    <n v="87"/>
    <n v="94"/>
    <x v="102"/>
    <s v="Excellent"/>
    <s v="Pass"/>
  </r>
  <r>
    <x v="0"/>
    <s v="group C"/>
    <s v="some college"/>
    <s v="standard"/>
    <s v="completed"/>
    <n v="51"/>
    <n v="52"/>
    <n v="52"/>
    <x v="146"/>
    <s v="Average"/>
    <s v="Pass"/>
  </r>
  <r>
    <x v="0"/>
    <s v="group C"/>
    <s v="master's degree"/>
    <s v="standard"/>
    <s v="none"/>
    <n v="68"/>
    <n v="60"/>
    <n v="62"/>
    <x v="93"/>
    <s v="Good"/>
    <s v="Pass"/>
  </r>
  <r>
    <x v="1"/>
    <s v="group B"/>
    <s v="associate's degree"/>
    <s v="standard"/>
    <s v="none"/>
    <n v="68"/>
    <n v="71"/>
    <n v="71"/>
    <x v="47"/>
    <s v="Good"/>
    <s v="Pass"/>
  </r>
  <r>
    <x v="1"/>
    <s v="group B"/>
    <s v="high school"/>
    <s v="free/reduced"/>
    <s v="none"/>
    <n v="47"/>
    <n v="49"/>
    <n v="50"/>
    <x v="63"/>
    <s v="Average"/>
    <s v="Pass"/>
  </r>
  <r>
    <x v="0"/>
    <s v="group E"/>
    <s v="master's degree"/>
    <s v="free/reduced"/>
    <s v="completed"/>
    <n v="84"/>
    <n v="77"/>
    <n v="82"/>
    <x v="27"/>
    <s v="Excellent"/>
    <s v="Pass"/>
  </r>
  <r>
    <x v="0"/>
    <s v="group B"/>
    <s v="some college"/>
    <s v="free/reduced"/>
    <s v="none"/>
    <n v="69"/>
    <n v="72"/>
    <n v="68"/>
    <x v="32"/>
    <s v="Good"/>
    <s v="Pass"/>
  </r>
  <r>
    <x v="1"/>
    <s v="group D"/>
    <s v="bachelor's degree"/>
    <s v="standard"/>
    <s v="completed"/>
    <n v="52"/>
    <n v="69"/>
    <n v="75"/>
    <x v="92"/>
    <s v="Good"/>
    <s v="Pass"/>
  </r>
  <r>
    <x v="0"/>
    <s v="group B"/>
    <s v="associate's degree"/>
    <s v="standard"/>
    <s v="none"/>
    <n v="80"/>
    <n v="79"/>
    <n v="79"/>
    <x v="86"/>
    <s v="Good"/>
    <s v="Pass"/>
  </r>
  <r>
    <x v="0"/>
    <s v="group C"/>
    <s v="bachelor's degree"/>
    <s v="standard"/>
    <s v="none"/>
    <n v="100"/>
    <n v="84"/>
    <n v="88"/>
    <x v="168"/>
    <s v="Excellent"/>
    <s v="Pass"/>
  </r>
  <r>
    <x v="0"/>
    <s v="group C"/>
    <s v="high school"/>
    <s v="standard"/>
    <s v="completed"/>
    <n v="53"/>
    <n v="59"/>
    <n v="64"/>
    <x v="148"/>
    <s v="Average"/>
    <s v="Pass"/>
  </r>
  <r>
    <x v="1"/>
    <s v="group B"/>
    <s v="master's degree"/>
    <s v="standard"/>
    <s v="completed"/>
    <n v="59"/>
    <n v="73"/>
    <n v="74"/>
    <x v="145"/>
    <s v="Good"/>
    <s v="Pass"/>
  </r>
  <r>
    <x v="1"/>
    <s v="group B"/>
    <s v="some college"/>
    <s v="standard"/>
    <s v="none"/>
    <n v="78"/>
    <n v="96"/>
    <n v="89"/>
    <x v="166"/>
    <s v="Excellent"/>
    <s v="Pass"/>
  </r>
  <r>
    <x v="1"/>
    <s v="group B"/>
    <s v="associate's degree"/>
    <s v="standard"/>
    <s v="none"/>
    <n v="84"/>
    <n v="87"/>
    <n v="89"/>
    <x v="129"/>
    <s v="Excellent"/>
    <s v="Pass"/>
  </r>
  <r>
    <x v="1"/>
    <s v="group C"/>
    <s v="high school"/>
    <s v="free/reduced"/>
    <s v="none"/>
    <n v="52"/>
    <n v="72"/>
    <n v="71"/>
    <x v="104"/>
    <s v="Good"/>
    <s v="Pass"/>
  </r>
  <r>
    <x v="0"/>
    <s v="group C"/>
    <s v="associate's degree"/>
    <s v="free/reduced"/>
    <s v="none"/>
    <n v="81"/>
    <n v="78"/>
    <n v="75"/>
    <x v="72"/>
    <s v="Good"/>
    <s v="Pass"/>
  </r>
  <r>
    <x v="1"/>
    <s v="group C"/>
    <s v="associate's degree"/>
    <s v="standard"/>
    <s v="completed"/>
    <n v="90"/>
    <n v="95"/>
    <n v="100"/>
    <x v="152"/>
    <s v="Excellent"/>
    <s v="Pass"/>
  </r>
  <r>
    <x v="1"/>
    <s v="group A"/>
    <s v="high school"/>
    <s v="standard"/>
    <s v="none"/>
    <n v="63"/>
    <n v="73"/>
    <n v="66"/>
    <x v="112"/>
    <s v="Good"/>
    <s v="Pass"/>
  </r>
  <r>
    <x v="0"/>
    <s v="group D"/>
    <s v="bachelor's degree"/>
    <s v="standard"/>
    <s v="completed"/>
    <n v="100"/>
    <n v="97"/>
    <n v="100"/>
    <x v="169"/>
    <s v="Excellent"/>
    <s v="Pass"/>
  </r>
  <r>
    <x v="1"/>
    <s v="group B"/>
    <s v="some college"/>
    <s v="standard"/>
    <s v="none"/>
    <n v="56"/>
    <n v="63"/>
    <n v="62"/>
    <x v="16"/>
    <s v="Good"/>
    <s v="Pass"/>
  </r>
  <r>
    <x v="1"/>
    <s v="group B"/>
    <s v="some college"/>
    <s v="standard"/>
    <s v="none"/>
    <n v="46"/>
    <n v="54"/>
    <n v="54"/>
    <x v="1"/>
    <s v="Average"/>
    <s v="Pass"/>
  </r>
  <r>
    <x v="1"/>
    <s v="group B"/>
    <s v="high school"/>
    <s v="free/reduced"/>
    <s v="completed"/>
    <n v="75"/>
    <n v="85"/>
    <n v="90"/>
    <x v="100"/>
    <s v="Excellent"/>
    <s v="Pass"/>
  </r>
  <r>
    <x v="1"/>
    <s v="group A"/>
    <s v="some college"/>
    <s v="standard"/>
    <s v="none"/>
    <n v="46"/>
    <n v="51"/>
    <n v="54"/>
    <x v="170"/>
    <s v="Average"/>
    <s v="Pass"/>
  </r>
  <r>
    <x v="0"/>
    <s v="group A"/>
    <s v="some high school"/>
    <s v="free/reduced"/>
    <s v="none"/>
    <n v="42"/>
    <n v="40"/>
    <n v="40"/>
    <x v="157"/>
    <s v="Average"/>
    <s v="Pass"/>
  </r>
  <r>
    <x v="1"/>
    <s v="group C"/>
    <s v="some high school"/>
    <s v="standard"/>
    <s v="completed"/>
    <n v="77"/>
    <n v="86"/>
    <n v="90"/>
    <x v="13"/>
    <s v="Excellent"/>
    <s v="Pass"/>
  </r>
  <r>
    <x v="1"/>
    <s v="group C"/>
    <s v="some college"/>
    <s v="free/reduced"/>
    <s v="none"/>
    <n v="40"/>
    <n v="63"/>
    <n v="56"/>
    <x v="105"/>
    <s v="Average"/>
    <s v="Pass"/>
  </r>
  <r>
    <x v="1"/>
    <s v="group D"/>
    <s v="high school"/>
    <s v="standard"/>
    <s v="none"/>
    <n v="69"/>
    <n v="71"/>
    <n v="76"/>
    <x v="5"/>
    <s v="Good"/>
    <s v="Pass"/>
  </r>
  <r>
    <x v="0"/>
    <s v="group C"/>
    <s v="high school"/>
    <s v="standard"/>
    <s v="none"/>
    <n v="43"/>
    <n v="50"/>
    <n v="45"/>
    <x v="24"/>
    <s v="Average"/>
    <s v="Pass"/>
  </r>
  <r>
    <x v="1"/>
    <s v="group C"/>
    <s v="associate's degree"/>
    <s v="standard"/>
    <s v="completed"/>
    <n v="69"/>
    <n v="75"/>
    <n v="71"/>
    <x v="64"/>
    <s v="Good"/>
    <s v="Pass"/>
  </r>
  <r>
    <x v="1"/>
    <s v="group D"/>
    <s v="bachelor's degree"/>
    <s v="standard"/>
    <s v="completed"/>
    <n v="89"/>
    <n v="93"/>
    <n v="100"/>
    <x v="171"/>
    <s v="Excellent"/>
    <s v="Pass"/>
  </r>
  <r>
    <x v="0"/>
    <s v="group B"/>
    <s v="associate's degree"/>
    <s v="standard"/>
    <s v="none"/>
    <n v="44"/>
    <n v="34"/>
    <n v="36"/>
    <x v="172"/>
    <s v="Poor"/>
    <s v="Fail"/>
  </r>
  <r>
    <x v="0"/>
    <s v="group D"/>
    <s v="high school"/>
    <s v="free/reduced"/>
    <s v="completed"/>
    <n v="82"/>
    <n v="83"/>
    <n v="77"/>
    <x v="150"/>
    <s v="Excellent"/>
    <s v="Pass"/>
  </r>
  <r>
    <x v="0"/>
    <s v="group D"/>
    <s v="associate's degree"/>
    <s v="free/reduced"/>
    <s v="none"/>
    <n v="72"/>
    <n v="72"/>
    <n v="65"/>
    <x v="32"/>
    <s v="Good"/>
    <s v="Pass"/>
  </r>
  <r>
    <x v="0"/>
    <s v="group C"/>
    <s v="bachelor's degree"/>
    <s v="standard"/>
    <s v="none"/>
    <n v="64"/>
    <n v="53"/>
    <n v="50"/>
    <x v="46"/>
    <s v="Average"/>
    <s v="Pass"/>
  </r>
  <r>
    <x v="0"/>
    <s v="group D"/>
    <s v="some high school"/>
    <s v="standard"/>
    <s v="none"/>
    <n v="89"/>
    <n v="73"/>
    <n v="70"/>
    <x v="71"/>
    <s v="Good"/>
    <s v="Pass"/>
  </r>
  <r>
    <x v="0"/>
    <s v="group E"/>
    <s v="associate's degree"/>
    <s v="free/reduced"/>
    <s v="none"/>
    <n v="58"/>
    <n v="53"/>
    <n v="54"/>
    <x v="20"/>
    <s v="Average"/>
    <s v="Pass"/>
  </r>
  <r>
    <x v="1"/>
    <s v="group A"/>
    <s v="high school"/>
    <s v="standard"/>
    <s v="completed"/>
    <n v="63"/>
    <n v="81"/>
    <n v="78"/>
    <x v="124"/>
    <s v="Good"/>
    <s v="Pass"/>
  </r>
  <r>
    <x v="1"/>
    <s v="group A"/>
    <s v="bachelor's degree"/>
    <s v="standard"/>
    <s v="none"/>
    <n v="54"/>
    <n v="66"/>
    <n v="69"/>
    <x v="101"/>
    <s v="Good"/>
    <s v="Pass"/>
  </r>
  <r>
    <x v="0"/>
    <s v="group C"/>
    <s v="high school"/>
    <s v="free/reduced"/>
    <s v="completed"/>
    <n v="83"/>
    <n v="78"/>
    <n v="82"/>
    <x v="27"/>
    <s v="Excellent"/>
    <s v="Pass"/>
  </r>
  <r>
    <x v="1"/>
    <s v="group C"/>
    <s v="high school"/>
    <s v="standard"/>
    <s v="none"/>
    <n v="57"/>
    <n v="74"/>
    <n v="64"/>
    <x v="104"/>
    <s v="Good"/>
    <s v="Pass"/>
  </r>
  <r>
    <x v="1"/>
    <s v="group C"/>
    <s v="high school"/>
    <s v="standard"/>
    <s v="none"/>
    <n v="52"/>
    <n v="47"/>
    <n v="48"/>
    <x v="15"/>
    <s v="Average"/>
    <s v="Pass"/>
  </r>
  <r>
    <x v="1"/>
    <s v="group D"/>
    <s v="high school"/>
    <s v="standard"/>
    <s v="completed"/>
    <n v="75"/>
    <n v="93"/>
    <n v="97"/>
    <x v="7"/>
    <s v="Excellent"/>
    <s v="Pass"/>
  </r>
  <r>
    <x v="0"/>
    <s v="group E"/>
    <s v="high school"/>
    <s v="free/reduced"/>
    <s v="completed"/>
    <n v="67"/>
    <n v="66"/>
    <n v="64"/>
    <x v="0"/>
    <s v="Good"/>
    <s v="Pass"/>
  </r>
  <r>
    <x v="0"/>
    <s v="group B"/>
    <s v="some high school"/>
    <s v="standard"/>
    <s v="none"/>
    <n v="58"/>
    <n v="60"/>
    <n v="53"/>
    <x v="82"/>
    <s v="Average"/>
    <s v="Pass"/>
  </r>
  <r>
    <x v="1"/>
    <s v="group B"/>
    <s v="bachelor's degree"/>
    <s v="free/reduced"/>
    <s v="none"/>
    <n v="63"/>
    <n v="66"/>
    <n v="68"/>
    <x v="0"/>
    <s v="Good"/>
    <s v="Pass"/>
  </r>
  <r>
    <x v="1"/>
    <s v="group D"/>
    <s v="some high school"/>
    <s v="free/reduced"/>
    <s v="none"/>
    <n v="49"/>
    <n v="64"/>
    <n v="57"/>
    <x v="40"/>
    <s v="Average"/>
    <s v="Pass"/>
  </r>
  <r>
    <x v="1"/>
    <s v="group D"/>
    <s v="some college"/>
    <s v="free/reduced"/>
    <s v="none"/>
    <n v="38"/>
    <n v="47"/>
    <n v="52"/>
    <x v="173"/>
    <s v="Average"/>
    <s v="Pass"/>
  </r>
  <r>
    <x v="1"/>
    <s v="group B"/>
    <s v="some college"/>
    <s v="standard"/>
    <s v="completed"/>
    <n v="74"/>
    <n v="85"/>
    <n v="84"/>
    <x v="27"/>
    <s v="Excellent"/>
    <s v="Pass"/>
  </r>
  <r>
    <x v="0"/>
    <s v="group C"/>
    <s v="associate's degree"/>
    <s v="free/reduced"/>
    <s v="completed"/>
    <n v="69"/>
    <n v="84"/>
    <n v="82"/>
    <x v="127"/>
    <s v="Good"/>
    <s v="Pass"/>
  </r>
  <r>
    <x v="1"/>
    <s v="group D"/>
    <s v="associate's degree"/>
    <s v="standard"/>
    <s v="none"/>
    <n v="77"/>
    <n v="82"/>
    <n v="80"/>
    <x v="121"/>
    <s v="Good"/>
    <s v="Pass"/>
  </r>
  <r>
    <x v="1"/>
    <s v="group A"/>
    <s v="master's degree"/>
    <s v="free/reduced"/>
    <s v="none"/>
    <n v="40"/>
    <n v="59"/>
    <n v="59"/>
    <x v="147"/>
    <s v="Average"/>
    <s v="Pass"/>
  </r>
  <r>
    <x v="1"/>
    <s v="group B"/>
    <s v="master's degree"/>
    <s v="standard"/>
    <s v="completed"/>
    <n v="96"/>
    <n v="98"/>
    <n v="100"/>
    <x v="174"/>
    <s v="Excellent"/>
    <s v="Pass"/>
  </r>
  <r>
    <x v="1"/>
    <s v="group B"/>
    <s v="bachelor's degree"/>
    <s v="standard"/>
    <s v="none"/>
    <n v="85"/>
    <n v="86"/>
    <n v="85"/>
    <x v="31"/>
    <s v="Excellent"/>
    <s v="Pass"/>
  </r>
  <r>
    <x v="0"/>
    <s v="group D"/>
    <s v="associate's degree"/>
    <s v="standard"/>
    <s v="none"/>
    <n v="85"/>
    <n v="77"/>
    <n v="76"/>
    <x v="86"/>
    <s v="Good"/>
    <s v="Pass"/>
  </r>
  <r>
    <x v="0"/>
    <s v="group C"/>
    <s v="high school"/>
    <s v="standard"/>
    <s v="none"/>
    <n v="72"/>
    <n v="59"/>
    <n v="54"/>
    <x v="90"/>
    <s v="Good"/>
    <s v="Pass"/>
  </r>
  <r>
    <x v="1"/>
    <s v="group B"/>
    <s v="associate's degree"/>
    <s v="free/reduced"/>
    <s v="none"/>
    <n v="63"/>
    <n v="78"/>
    <n v="73"/>
    <x v="56"/>
    <s v="Good"/>
    <s v="Pass"/>
  </r>
  <r>
    <x v="0"/>
    <s v="group B"/>
    <s v="some high school"/>
    <s v="standard"/>
    <s v="none"/>
    <n v="58"/>
    <n v="67"/>
    <n v="58"/>
    <x v="111"/>
    <s v="Good"/>
    <s v="Pass"/>
  </r>
  <r>
    <x v="0"/>
    <s v="group B"/>
    <s v="bachelor's degree"/>
    <s v="free/reduced"/>
    <s v="none"/>
    <n v="58"/>
    <n v="64"/>
    <n v="54"/>
    <x v="148"/>
    <s v="Average"/>
    <s v="Pass"/>
  </r>
  <r>
    <x v="0"/>
    <s v="group C"/>
    <s v="high school"/>
    <s v="free/reduced"/>
    <s v="none"/>
    <n v="51"/>
    <n v="57"/>
    <n v="53"/>
    <x v="42"/>
    <s v="Average"/>
    <s v="Pass"/>
  </r>
  <r>
    <x v="1"/>
    <s v="group D"/>
    <s v="master's degree"/>
    <s v="standard"/>
    <s v="completed"/>
    <n v="100"/>
    <n v="100"/>
    <n v="100"/>
    <x v="94"/>
    <s v="Excellent"/>
    <s v="Pass"/>
  </r>
  <r>
    <x v="1"/>
    <s v="group D"/>
    <s v="master's degree"/>
    <s v="standard"/>
    <s v="none"/>
    <n v="77"/>
    <n v="84"/>
    <n v="92"/>
    <x v="13"/>
    <s v="Excellent"/>
    <s v="Pass"/>
  </r>
  <r>
    <x v="0"/>
    <s v="group E"/>
    <s v="bachelor's degree"/>
    <s v="free/reduced"/>
    <s v="none"/>
    <n v="63"/>
    <n v="56"/>
    <n v="56"/>
    <x v="96"/>
    <s v="Average"/>
    <s v="Pass"/>
  </r>
  <r>
    <x v="1"/>
    <s v="group C"/>
    <s v="some college"/>
    <s v="standard"/>
    <s v="none"/>
    <n v="64"/>
    <n v="67"/>
    <n v="68"/>
    <x v="25"/>
    <s v="Good"/>
    <s v="Pass"/>
  </r>
  <r>
    <x v="0"/>
    <s v="group E"/>
    <s v="high school"/>
    <s v="standard"/>
    <s v="none"/>
    <n v="100"/>
    <n v="82"/>
    <n v="80"/>
    <x v="106"/>
    <s v="Excellent"/>
    <s v="Pass"/>
  </r>
  <r>
    <x v="0"/>
    <s v="group C"/>
    <s v="associate's degree"/>
    <s v="standard"/>
    <s v="none"/>
    <n v="66"/>
    <n v="65"/>
    <n v="65"/>
    <x v="92"/>
    <s v="Good"/>
    <s v="Pass"/>
  </r>
  <r>
    <x v="0"/>
    <s v="group E"/>
    <s v="bachelor's degree"/>
    <s v="standard"/>
    <s v="none"/>
    <n v="87"/>
    <n v="87"/>
    <n v="84"/>
    <x v="45"/>
    <s v="Excellent"/>
    <s v="Pass"/>
  </r>
  <r>
    <x v="0"/>
    <s v="group C"/>
    <s v="high school"/>
    <s v="standard"/>
    <s v="none"/>
    <n v="73"/>
    <n v="72"/>
    <n v="69"/>
    <x v="56"/>
    <s v="Good"/>
    <s v="Pass"/>
  </r>
  <r>
    <x v="0"/>
    <s v="group C"/>
    <s v="master's degree"/>
    <s v="free/reduced"/>
    <s v="completed"/>
    <n v="69"/>
    <n v="66"/>
    <n v="65"/>
    <x v="73"/>
    <s v="Good"/>
    <s v="Pass"/>
  </r>
  <r>
    <x v="1"/>
    <s v="group C"/>
    <s v="high school"/>
    <s v="standard"/>
    <s v="none"/>
    <n v="62"/>
    <n v="64"/>
    <n v="63"/>
    <x v="101"/>
    <s v="Good"/>
    <s v="Pass"/>
  </r>
  <r>
    <x v="1"/>
    <s v="group C"/>
    <s v="some high school"/>
    <s v="standard"/>
    <s v="none"/>
    <n v="40"/>
    <n v="48"/>
    <n v="49"/>
    <x v="173"/>
    <s v="Average"/>
    <s v="Pass"/>
  </r>
  <r>
    <x v="0"/>
    <s v="group C"/>
    <s v="some college"/>
    <s v="free/reduced"/>
    <s v="completed"/>
    <n v="55"/>
    <n v="68"/>
    <n v="60"/>
    <x v="111"/>
    <s v="Good"/>
    <s v="Pass"/>
  </r>
  <r>
    <x v="0"/>
    <s v="group D"/>
    <s v="high school"/>
    <s v="standard"/>
    <s v="completed"/>
    <n v="77"/>
    <n v="77"/>
    <n v="78"/>
    <x v="71"/>
    <s v="Good"/>
    <s v="Pass"/>
  </r>
  <r>
    <x v="0"/>
    <s v="group D"/>
    <s v="some college"/>
    <s v="standard"/>
    <s v="completed"/>
    <n v="63"/>
    <n v="70"/>
    <n v="71"/>
    <x v="175"/>
    <s v="Good"/>
    <s v="Pass"/>
  </r>
  <r>
    <x v="0"/>
    <s v="group D"/>
    <s v="associate's degree"/>
    <s v="standard"/>
    <s v="completed"/>
    <n v="85"/>
    <n v="85"/>
    <n v="91"/>
    <x v="141"/>
    <s v="Excellent"/>
    <s v="Pass"/>
  </r>
  <r>
    <x v="1"/>
    <s v="group B"/>
    <s v="high school"/>
    <s v="free/reduced"/>
    <s v="none"/>
    <n v="30"/>
    <n v="43"/>
    <n v="40"/>
    <x v="165"/>
    <s v="Poor"/>
    <s v="Fail"/>
  </r>
  <r>
    <x v="0"/>
    <s v="group B"/>
    <s v="high school"/>
    <s v="standard"/>
    <s v="none"/>
    <n v="82"/>
    <n v="77"/>
    <n v="71"/>
    <x v="75"/>
    <s v="Good"/>
    <s v="Pass"/>
  </r>
  <r>
    <x v="0"/>
    <s v="group D"/>
    <s v="associate's degree"/>
    <s v="free/reduced"/>
    <s v="completed"/>
    <n v="81"/>
    <n v="71"/>
    <n v="70"/>
    <x v="124"/>
    <s v="Good"/>
    <s v="Pass"/>
  </r>
  <r>
    <x v="1"/>
    <s v="group C"/>
    <s v="some high school"/>
    <s v="standard"/>
    <s v="completed"/>
    <n v="92"/>
    <n v="100"/>
    <n v="97"/>
    <x v="176"/>
    <s v="Excellent"/>
    <s v="Pass"/>
  </r>
  <r>
    <x v="0"/>
    <s v="group B"/>
    <s v="some college"/>
    <s v="free/reduced"/>
    <s v="none"/>
    <n v="50"/>
    <n v="48"/>
    <n v="36"/>
    <x v="8"/>
    <s v="Average"/>
    <s v="Pass"/>
  </r>
  <r>
    <x v="1"/>
    <s v="group B"/>
    <s v="associate's degree"/>
    <s v="standard"/>
    <s v="none"/>
    <n v="54"/>
    <n v="60"/>
    <n v="56"/>
    <x v="40"/>
    <s v="Average"/>
    <s v="Pass"/>
  </r>
  <r>
    <x v="0"/>
    <s v="group C"/>
    <s v="associate's degree"/>
    <s v="standard"/>
    <s v="completed"/>
    <n v="76"/>
    <n v="83"/>
    <n v="78"/>
    <x v="48"/>
    <s v="Good"/>
    <s v="Pass"/>
  </r>
  <r>
    <x v="1"/>
    <s v="group D"/>
    <s v="some high school"/>
    <s v="standard"/>
    <s v="none"/>
    <n v="60"/>
    <n v="68"/>
    <n v="74"/>
    <x v="112"/>
    <s v="Good"/>
    <s v="Pass"/>
  </r>
  <r>
    <x v="1"/>
    <s v="group A"/>
    <s v="associate's degree"/>
    <s v="free/reduced"/>
    <s v="completed"/>
    <n v="45"/>
    <n v="72"/>
    <n v="66"/>
    <x v="111"/>
    <s v="Good"/>
    <s v="Pass"/>
  </r>
  <r>
    <x v="0"/>
    <s v="group D"/>
    <s v="high school"/>
    <s v="standard"/>
    <s v="none"/>
    <n v="80"/>
    <n v="77"/>
    <n v="72"/>
    <x v="76"/>
    <s v="Good"/>
    <s v="Pass"/>
  </r>
  <r>
    <x v="0"/>
    <s v="group D"/>
    <s v="some high school"/>
    <s v="free/reduced"/>
    <s v="none"/>
    <n v="52"/>
    <n v="45"/>
    <n v="48"/>
    <x v="91"/>
    <s v="Average"/>
    <s v="Pass"/>
  </r>
  <r>
    <x v="1"/>
    <s v="group C"/>
    <s v="high school"/>
    <s v="standard"/>
    <s v="completed"/>
    <n v="90"/>
    <n v="89"/>
    <n v="97"/>
    <x v="161"/>
    <s v="Excellent"/>
    <s v="Pass"/>
  </r>
  <r>
    <x v="1"/>
    <s v="group D"/>
    <s v="high school"/>
    <s v="free/reduced"/>
    <s v="none"/>
    <n v="53"/>
    <n v="65"/>
    <n v="69"/>
    <x v="14"/>
    <s v="Good"/>
    <s v="Pass"/>
  </r>
  <r>
    <x v="1"/>
    <s v="group C"/>
    <s v="associate's degree"/>
    <s v="standard"/>
    <s v="none"/>
    <n v="92"/>
    <n v="95"/>
    <n v="95"/>
    <x v="171"/>
    <s v="Excellent"/>
    <s v="Pass"/>
  </r>
  <r>
    <x v="1"/>
    <s v="group C"/>
    <s v="some college"/>
    <s v="standard"/>
    <s v="completed"/>
    <n v="63"/>
    <n v="78"/>
    <n v="75"/>
    <x v="5"/>
    <s v="Good"/>
    <s v="Pass"/>
  </r>
  <r>
    <x v="1"/>
    <s v="group B"/>
    <s v="some high school"/>
    <s v="standard"/>
    <s v="none"/>
    <n v="71"/>
    <n v="77"/>
    <n v="79"/>
    <x v="59"/>
    <s v="Good"/>
    <s v="Pass"/>
  </r>
  <r>
    <x v="1"/>
    <s v="group D"/>
    <s v="some high school"/>
    <s v="standard"/>
    <s v="none"/>
    <n v="64"/>
    <n v="70"/>
    <n v="73"/>
    <x v="95"/>
    <s v="Good"/>
    <s v="Pass"/>
  </r>
  <r>
    <x v="1"/>
    <s v="group C"/>
    <s v="some college"/>
    <s v="standard"/>
    <s v="completed"/>
    <n v="67"/>
    <n v="81"/>
    <n v="89"/>
    <x v="48"/>
    <s v="Good"/>
    <s v="Pass"/>
  </r>
  <r>
    <x v="0"/>
    <s v="group C"/>
    <s v="high school"/>
    <s v="free/reduced"/>
    <s v="none"/>
    <n v="63"/>
    <n v="63"/>
    <n v="61"/>
    <x v="14"/>
    <s v="Good"/>
    <s v="Pass"/>
  </r>
  <r>
    <x v="0"/>
    <s v="group B"/>
    <s v="high school"/>
    <s v="standard"/>
    <s v="none"/>
    <n v="63"/>
    <n v="53"/>
    <n v="44"/>
    <x v="162"/>
    <s v="Average"/>
    <s v="Pass"/>
  </r>
  <r>
    <x v="0"/>
    <s v="group C"/>
    <s v="some high school"/>
    <s v="standard"/>
    <s v="none"/>
    <n v="59"/>
    <n v="49"/>
    <n v="46"/>
    <x v="1"/>
    <s v="Average"/>
    <s v="Pass"/>
  </r>
  <r>
    <x v="0"/>
    <s v="group E"/>
    <s v="high school"/>
    <s v="standard"/>
    <s v="none"/>
    <n v="49"/>
    <n v="43"/>
    <n v="35"/>
    <x v="136"/>
    <s v="Average"/>
    <s v="Pass"/>
  </r>
  <r>
    <x v="1"/>
    <s v="group D"/>
    <s v="master's degree"/>
    <s v="standard"/>
    <s v="none"/>
    <n v="75"/>
    <n v="84"/>
    <n v="86"/>
    <x v="138"/>
    <s v="Excellent"/>
    <s v="Pass"/>
  </r>
  <r>
    <x v="1"/>
    <s v="group C"/>
    <s v="some high school"/>
    <s v="free/reduced"/>
    <s v="none"/>
    <n v="34"/>
    <n v="47"/>
    <n v="45"/>
    <x v="164"/>
    <s v="Average"/>
    <s v="Pass"/>
  </r>
  <r>
    <x v="1"/>
    <s v="group B"/>
    <s v="associate's degree"/>
    <s v="free/reduced"/>
    <s v="none"/>
    <n v="53"/>
    <n v="70"/>
    <n v="69"/>
    <x v="119"/>
    <s v="Good"/>
    <s v="Pass"/>
  </r>
  <r>
    <x v="0"/>
    <s v="group B"/>
    <s v="master's degree"/>
    <s v="standard"/>
    <s v="none"/>
    <n v="63"/>
    <n v="56"/>
    <n v="60"/>
    <x v="143"/>
    <s v="Average"/>
    <s v="Pass"/>
  </r>
  <r>
    <x v="0"/>
    <s v="group C"/>
    <s v="associate's degree"/>
    <s v="standard"/>
    <s v="none"/>
    <n v="75"/>
    <n v="69"/>
    <n v="65"/>
    <x v="32"/>
    <s v="Good"/>
    <s v="Pass"/>
  </r>
  <r>
    <x v="0"/>
    <s v="group E"/>
    <s v="associate's degree"/>
    <s v="free/reduced"/>
    <s v="none"/>
    <n v="63"/>
    <n v="61"/>
    <n v="62"/>
    <x v="33"/>
    <s v="Good"/>
    <s v="Pass"/>
  </r>
  <r>
    <x v="1"/>
    <s v="group C"/>
    <s v="high school"/>
    <s v="standard"/>
    <s v="none"/>
    <n v="70"/>
    <n v="72"/>
    <n v="75"/>
    <x v="154"/>
    <s v="Good"/>
    <s v="Pass"/>
  </r>
  <r>
    <x v="1"/>
    <s v="group C"/>
    <s v="some college"/>
    <s v="standard"/>
    <s v="none"/>
    <n v="61"/>
    <n v="73"/>
    <n v="70"/>
    <x v="175"/>
    <s v="Good"/>
    <s v="Pass"/>
  </r>
  <r>
    <x v="0"/>
    <s v="group C"/>
    <s v="associate's degree"/>
    <s v="standard"/>
    <s v="none"/>
    <n v="74"/>
    <n v="61"/>
    <n v="59"/>
    <x v="103"/>
    <s v="Good"/>
    <s v="Pass"/>
  </r>
  <r>
    <x v="0"/>
    <s v="group D"/>
    <s v="associate's degree"/>
    <s v="free/reduced"/>
    <s v="none"/>
    <n v="57"/>
    <n v="49"/>
    <n v="48"/>
    <x v="1"/>
    <s v="Average"/>
    <s v="Pass"/>
  </r>
  <r>
    <x v="0"/>
    <s v="group C"/>
    <s v="some high school"/>
    <s v="free/reduced"/>
    <s v="completed"/>
    <n v="41"/>
    <n v="52"/>
    <n v="47"/>
    <x v="79"/>
    <s v="Average"/>
    <s v="Pass"/>
  </r>
  <r>
    <x v="0"/>
    <s v="group D"/>
    <s v="some high school"/>
    <s v="standard"/>
    <s v="none"/>
    <n v="87"/>
    <n v="80"/>
    <n v="76"/>
    <x v="27"/>
    <s v="Excellent"/>
    <s v="Pass"/>
  </r>
  <r>
    <x v="0"/>
    <s v="group C"/>
    <s v="high school"/>
    <s v="free/reduced"/>
    <s v="none"/>
    <n v="69"/>
    <n v="71"/>
    <n v="62"/>
    <x v="112"/>
    <s v="Good"/>
    <s v="Pass"/>
  </r>
  <r>
    <x v="0"/>
    <s v="group C"/>
    <s v="associate's degree"/>
    <s v="free/reduced"/>
    <s v="none"/>
    <n v="69"/>
    <n v="77"/>
    <n v="70"/>
    <x v="5"/>
    <s v="Good"/>
    <s v="Pass"/>
  </r>
  <r>
    <x v="0"/>
    <s v="group D"/>
    <s v="high school"/>
    <s v="standard"/>
    <s v="completed"/>
    <n v="58"/>
    <n v="56"/>
    <n v="56"/>
    <x v="40"/>
    <s v="Average"/>
    <s v="Pass"/>
  </r>
  <r>
    <x v="1"/>
    <s v="group B"/>
    <s v="some college"/>
    <s v="free/reduced"/>
    <s v="completed"/>
    <n v="47"/>
    <n v="69"/>
    <n v="62"/>
    <x v="43"/>
    <s v="Average"/>
    <s v="Pass"/>
  </r>
  <r>
    <x v="0"/>
    <s v="group D"/>
    <s v="associate's degree"/>
    <s v="standard"/>
    <s v="completed"/>
    <n v="78"/>
    <n v="69"/>
    <n v="71"/>
    <x v="57"/>
    <s v="Good"/>
    <s v="Pass"/>
  </r>
  <r>
    <x v="1"/>
    <s v="group B"/>
    <s v="some college"/>
    <s v="free/reduced"/>
    <s v="completed"/>
    <n v="54"/>
    <n v="61"/>
    <n v="71"/>
    <x v="33"/>
    <s v="Good"/>
    <s v="Pass"/>
  </r>
  <r>
    <x v="0"/>
    <s v="group C"/>
    <s v="some college"/>
    <s v="free/reduced"/>
    <s v="none"/>
    <n v="36"/>
    <n v="27"/>
    <n v="26"/>
    <x v="177"/>
    <s v="Poor"/>
    <s v="Fail"/>
  </r>
  <r>
    <x v="0"/>
    <s v="group B"/>
    <s v="bachelor's degree"/>
    <s v="standard"/>
    <s v="completed"/>
    <n v="94"/>
    <n v="92"/>
    <n v="92"/>
    <x v="61"/>
    <s v="Excellent"/>
    <s v="Pass"/>
  </r>
  <r>
    <x v="1"/>
    <s v="group D"/>
    <s v="associate's degree"/>
    <s v="free/reduced"/>
    <s v="none"/>
    <n v="68"/>
    <n v="84"/>
    <n v="80"/>
    <x v="71"/>
    <s v="Good"/>
    <s v="Pass"/>
  </r>
  <r>
    <x v="1"/>
    <s v="group E"/>
    <s v="high school"/>
    <s v="standard"/>
    <s v="none"/>
    <n v="90"/>
    <n v="88"/>
    <n v="84"/>
    <x v="106"/>
    <s v="Excellent"/>
    <s v="Pass"/>
  </r>
  <r>
    <x v="0"/>
    <s v="group A"/>
    <s v="some college"/>
    <s v="standard"/>
    <s v="none"/>
    <n v="57"/>
    <n v="57"/>
    <n v="53"/>
    <x v="46"/>
    <s v="Average"/>
    <s v="Pass"/>
  </r>
  <r>
    <x v="0"/>
    <s v="group D"/>
    <s v="some college"/>
    <s v="standard"/>
    <s v="completed"/>
    <n v="96"/>
    <n v="95"/>
    <n v="90"/>
    <x v="125"/>
    <s v="Excellent"/>
    <s v="Pass"/>
  </r>
  <r>
    <x v="0"/>
    <s v="group B"/>
    <s v="some high school"/>
    <s v="standard"/>
    <s v="completed"/>
    <n v="68"/>
    <n v="63"/>
    <n v="62"/>
    <x v="50"/>
    <s v="Good"/>
    <s v="Pass"/>
  </r>
  <r>
    <x v="1"/>
    <s v="group C"/>
    <s v="some high school"/>
    <s v="standard"/>
    <s v="completed"/>
    <n v="52"/>
    <n v="64"/>
    <n v="63"/>
    <x v="143"/>
    <s v="Average"/>
    <s v="Pass"/>
  </r>
  <r>
    <x v="0"/>
    <s v="group E"/>
    <s v="associate's degree"/>
    <s v="standard"/>
    <s v="none"/>
    <n v="90"/>
    <n v="76"/>
    <n v="73"/>
    <x v="121"/>
    <s v="Good"/>
    <s v="Pass"/>
  </r>
  <r>
    <x v="0"/>
    <s v="group C"/>
    <s v="some college"/>
    <s v="free/reduced"/>
    <s v="completed"/>
    <n v="71"/>
    <n v="82"/>
    <n v="75"/>
    <x v="109"/>
    <s v="Good"/>
    <s v="Pass"/>
  </r>
  <r>
    <x v="1"/>
    <s v="group C"/>
    <s v="some college"/>
    <s v="free/reduced"/>
    <s v="completed"/>
    <n v="58"/>
    <n v="69"/>
    <n v="74"/>
    <x v="30"/>
    <s v="Good"/>
    <s v="Pass"/>
  </r>
  <r>
    <x v="0"/>
    <s v="group C"/>
    <s v="some high school"/>
    <s v="free/reduced"/>
    <s v="none"/>
    <n v="41"/>
    <n v="39"/>
    <n v="34"/>
    <x v="172"/>
    <s v="Poor"/>
    <s v="Fail"/>
  </r>
  <r>
    <x v="0"/>
    <s v="group D"/>
    <s v="some high school"/>
    <s v="standard"/>
    <s v="completed"/>
    <n v="43"/>
    <n v="37"/>
    <n v="43"/>
    <x v="178"/>
    <s v="Average"/>
    <s v="Pass"/>
  </r>
  <r>
    <x v="0"/>
    <s v="group D"/>
    <s v="high school"/>
    <s v="standard"/>
    <s v="none"/>
    <n v="85"/>
    <n v="70"/>
    <n v="71"/>
    <x v="66"/>
    <s v="Good"/>
    <s v="Pass"/>
  </r>
  <r>
    <x v="0"/>
    <s v="group B"/>
    <s v="some high school"/>
    <s v="standard"/>
    <s v="none"/>
    <n v="71"/>
    <n v="72"/>
    <n v="69"/>
    <x v="88"/>
    <s v="Good"/>
    <s v="Pass"/>
  </r>
  <r>
    <x v="1"/>
    <s v="group A"/>
    <s v="high school"/>
    <s v="standard"/>
    <s v="none"/>
    <n v="72"/>
    <n v="70"/>
    <n v="72"/>
    <x v="56"/>
    <s v="Good"/>
    <s v="Pass"/>
  </r>
  <r>
    <x v="0"/>
    <s v="group D"/>
    <s v="associate's degree"/>
    <s v="free/reduced"/>
    <s v="none"/>
    <n v="70"/>
    <n v="62"/>
    <n v="66"/>
    <x v="36"/>
    <s v="Good"/>
    <s v="Pass"/>
  </r>
  <r>
    <x v="1"/>
    <s v="group D"/>
    <s v="bachelor's degree"/>
    <s v="standard"/>
    <s v="none"/>
    <n v="89"/>
    <n v="100"/>
    <n v="100"/>
    <x v="176"/>
    <s v="Excellent"/>
    <s v="Pass"/>
  </r>
  <r>
    <x v="1"/>
    <s v="group E"/>
    <s v="high school"/>
    <s v="standard"/>
    <s v="none"/>
    <n v="92"/>
    <n v="86"/>
    <n v="82"/>
    <x v="129"/>
    <s v="Excellent"/>
    <s v="Pass"/>
  </r>
  <r>
    <x v="0"/>
    <s v="group E"/>
    <s v="some college"/>
    <s v="free/reduced"/>
    <s v="completed"/>
    <n v="80"/>
    <n v="79"/>
    <n v="81"/>
    <x v="41"/>
    <s v="Excellent"/>
    <s v="Pass"/>
  </r>
  <r>
    <x v="0"/>
    <s v="group C"/>
    <s v="some high school"/>
    <s v="standard"/>
    <s v="none"/>
    <n v="80"/>
    <n v="70"/>
    <n v="60"/>
    <x v="47"/>
    <s v="Good"/>
    <s v="Pass"/>
  </r>
  <r>
    <x v="1"/>
    <s v="group B"/>
    <s v="high school"/>
    <s v="standard"/>
    <s v="none"/>
    <n v="56"/>
    <n v="64"/>
    <n v="59"/>
    <x v="143"/>
    <s v="Average"/>
    <s v="Pass"/>
  </r>
  <r>
    <x v="0"/>
    <s v="group E"/>
    <s v="high school"/>
    <s v="free/reduced"/>
    <s v="none"/>
    <n v="93"/>
    <n v="86"/>
    <n v="73"/>
    <x v="26"/>
    <s v="Excellent"/>
    <s v="Pass"/>
  </r>
  <r>
    <x v="0"/>
    <s v="group C"/>
    <s v="associate's degree"/>
    <s v="free/reduced"/>
    <s v="completed"/>
    <n v="49"/>
    <n v="37"/>
    <n v="41"/>
    <x v="136"/>
    <s v="Average"/>
    <s v="Pass"/>
  </r>
  <r>
    <x v="1"/>
    <s v="group E"/>
    <s v="master's degree"/>
    <s v="standard"/>
    <s v="none"/>
    <n v="59"/>
    <n v="57"/>
    <n v="58"/>
    <x v="87"/>
    <s v="Average"/>
    <s v="Pass"/>
  </r>
  <r>
    <x v="1"/>
    <s v="group C"/>
    <s v="some high school"/>
    <s v="standard"/>
    <s v="completed"/>
    <n v="64"/>
    <n v="74"/>
    <n v="75"/>
    <x v="21"/>
    <s v="Good"/>
    <s v="Pass"/>
  </r>
  <r>
    <x v="0"/>
    <s v="group D"/>
    <s v="some high school"/>
    <s v="standard"/>
    <s v="none"/>
    <n v="73"/>
    <n v="66"/>
    <n v="59"/>
    <x v="36"/>
    <s v="Good"/>
    <s v="Pass"/>
  </r>
  <r>
    <x v="1"/>
    <s v="group B"/>
    <s v="some college"/>
    <s v="standard"/>
    <s v="completed"/>
    <n v="82"/>
    <n v="86"/>
    <n v="90"/>
    <x v="45"/>
    <s v="Excellent"/>
    <s v="Pass"/>
  </r>
  <r>
    <x v="0"/>
    <s v="group D"/>
    <s v="high school"/>
    <s v="free/reduced"/>
    <s v="none"/>
    <n v="48"/>
    <n v="43"/>
    <n v="41"/>
    <x v="179"/>
    <s v="Average"/>
    <s v="Pass"/>
  </r>
  <r>
    <x v="1"/>
    <s v="group A"/>
    <s v="some high school"/>
    <s v="free/reduced"/>
    <s v="completed"/>
    <n v="51"/>
    <n v="64"/>
    <n v="62"/>
    <x v="70"/>
    <s v="Average"/>
    <s v="Pass"/>
  </r>
  <r>
    <x v="1"/>
    <s v="group E"/>
    <s v="some high school"/>
    <s v="free/reduced"/>
    <s v="completed"/>
    <n v="38"/>
    <n v="46"/>
    <n v="43"/>
    <x v="136"/>
    <s v="Average"/>
    <s v="Pass"/>
  </r>
  <r>
    <x v="0"/>
    <s v="group B"/>
    <s v="some college"/>
    <s v="free/reduced"/>
    <s v="none"/>
    <n v="45"/>
    <n v="50"/>
    <n v="42"/>
    <x v="173"/>
    <s v="Average"/>
    <s v="Pass"/>
  </r>
  <r>
    <x v="1"/>
    <s v="group A"/>
    <s v="some college"/>
    <s v="standard"/>
    <s v="completed"/>
    <n v="83"/>
    <n v="92"/>
    <n v="95"/>
    <x v="98"/>
    <s v="Excellent"/>
    <s v="Pass"/>
  </r>
  <r>
    <x v="1"/>
    <s v="group B"/>
    <s v="some high school"/>
    <s v="standard"/>
    <s v="completed"/>
    <n v="45"/>
    <n v="57"/>
    <n v="56"/>
    <x v="147"/>
    <s v="Average"/>
    <s v="Pass"/>
  </r>
  <r>
    <x v="0"/>
    <s v="group D"/>
    <s v="high school"/>
    <s v="free/reduced"/>
    <s v="none"/>
    <n v="66"/>
    <n v="64"/>
    <n v="62"/>
    <x v="119"/>
    <s v="Good"/>
    <s v="Pass"/>
  </r>
  <r>
    <x v="0"/>
    <s v="group D"/>
    <s v="high school"/>
    <s v="free/reduced"/>
    <s v="completed"/>
    <n v="60"/>
    <n v="62"/>
    <n v="57"/>
    <x v="143"/>
    <s v="Average"/>
    <s v="Pass"/>
  </r>
  <r>
    <x v="0"/>
    <s v="group C"/>
    <s v="associate's degree"/>
    <s v="standard"/>
    <s v="none"/>
    <n v="49"/>
    <n v="47"/>
    <n v="49"/>
    <x v="91"/>
    <s v="Average"/>
    <s v="Pass"/>
  </r>
  <r>
    <x v="0"/>
    <s v="group D"/>
    <s v="bachelor's degree"/>
    <s v="standard"/>
    <s v="none"/>
    <n v="80"/>
    <n v="84"/>
    <n v="86"/>
    <x v="100"/>
    <s v="Excellent"/>
    <s v="Pass"/>
  </r>
  <r>
    <x v="0"/>
    <s v="group E"/>
    <s v="high school"/>
    <s v="standard"/>
    <s v="none"/>
    <n v="75"/>
    <n v="68"/>
    <n v="66"/>
    <x v="32"/>
    <s v="Good"/>
    <s v="Pass"/>
  </r>
  <r>
    <x v="0"/>
    <s v="group B"/>
    <s v="some college"/>
    <s v="free/reduced"/>
    <s v="completed"/>
    <n v="57"/>
    <n v="68"/>
    <n v="61"/>
    <x v="33"/>
    <s v="Good"/>
    <s v="Pass"/>
  </r>
  <r>
    <x v="1"/>
    <s v="group B"/>
    <s v="some high school"/>
    <s v="free/reduced"/>
    <s v="none"/>
    <n v="25"/>
    <n v="36"/>
    <n v="37"/>
    <x v="128"/>
    <s v="Poor"/>
    <s v="Fail"/>
  </r>
  <r>
    <x v="0"/>
    <s v="group E"/>
    <s v="some college"/>
    <s v="free/reduced"/>
    <s v="none"/>
    <n v="90"/>
    <n v="87"/>
    <n v="81"/>
    <x v="45"/>
    <s v="Excellent"/>
    <s v="Pass"/>
  </r>
  <r>
    <x v="1"/>
    <s v="group D"/>
    <s v="some college"/>
    <s v="standard"/>
    <s v="none"/>
    <n v="63"/>
    <n v="70"/>
    <n v="71"/>
    <x v="175"/>
    <s v="Good"/>
    <s v="Pass"/>
  </r>
  <r>
    <x v="0"/>
    <s v="group E"/>
    <s v="associate's degree"/>
    <s v="standard"/>
    <s v="none"/>
    <n v="100"/>
    <n v="91"/>
    <n v="86"/>
    <x v="180"/>
    <s v="Excellent"/>
    <s v="Pass"/>
  </r>
  <r>
    <x v="0"/>
    <s v="group C"/>
    <s v="associate's degree"/>
    <s v="free/reduced"/>
    <s v="none"/>
    <n v="76"/>
    <n v="68"/>
    <n v="66"/>
    <x v="47"/>
    <s v="Good"/>
    <s v="Pass"/>
  </r>
  <r>
    <x v="1"/>
    <s v="group B"/>
    <s v="some high school"/>
    <s v="free/reduced"/>
    <s v="none"/>
    <n v="52"/>
    <n v="58"/>
    <n v="53"/>
    <x v="74"/>
    <s v="Average"/>
    <s v="Pass"/>
  </r>
  <r>
    <x v="1"/>
    <s v="group B"/>
    <s v="master's degree"/>
    <s v="standard"/>
    <s v="completed"/>
    <n v="81"/>
    <n v="86"/>
    <n v="93"/>
    <x v="129"/>
    <s v="Excellent"/>
    <s v="Pass"/>
  </r>
  <r>
    <x v="0"/>
    <s v="group C"/>
    <s v="associate's degree"/>
    <s v="standard"/>
    <s v="completed"/>
    <n v="90"/>
    <n v="89"/>
    <n v="87"/>
    <x v="97"/>
    <s v="Excellent"/>
    <s v="Pass"/>
  </r>
  <r>
    <x v="0"/>
    <s v="group D"/>
    <s v="associate's degree"/>
    <s v="standard"/>
    <s v="none"/>
    <n v="83"/>
    <n v="82"/>
    <n v="81"/>
    <x v="131"/>
    <s v="Excellent"/>
    <s v="Pass"/>
  </r>
  <r>
    <x v="1"/>
    <s v="group B"/>
    <s v="high school"/>
    <s v="standard"/>
    <s v="none"/>
    <n v="61"/>
    <n v="73"/>
    <n v="69"/>
    <x v="52"/>
    <s v="Good"/>
    <s v="Pass"/>
  </r>
  <r>
    <x v="1"/>
    <s v="group E"/>
    <s v="associate's degree"/>
    <s v="standard"/>
    <s v="completed"/>
    <n v="79"/>
    <n v="69"/>
    <n v="75"/>
    <x v="3"/>
    <s v="Good"/>
    <s v="Pass"/>
  </r>
  <r>
    <x v="0"/>
    <s v="group B"/>
    <s v="some college"/>
    <s v="standard"/>
    <s v="none"/>
    <n v="52"/>
    <n v="53"/>
    <n v="51"/>
    <x v="53"/>
    <s v="Average"/>
    <s v="Pass"/>
  </r>
  <r>
    <x v="1"/>
    <s v="group B"/>
    <s v="bachelor's degree"/>
    <s v="standard"/>
    <s v="completed"/>
    <n v="62"/>
    <n v="65"/>
    <n v="67"/>
    <x v="103"/>
    <s v="Good"/>
    <s v="Pass"/>
  </r>
  <r>
    <x v="1"/>
    <s v="group D"/>
    <s v="some college"/>
    <s v="standard"/>
    <s v="none"/>
    <n v="85"/>
    <n v="90"/>
    <n v="84"/>
    <x v="123"/>
    <s v="Excellent"/>
    <s v="Pass"/>
  </r>
  <r>
    <x v="1"/>
    <s v="group E"/>
    <s v="high school"/>
    <s v="free/reduced"/>
    <s v="completed"/>
    <n v="74"/>
    <n v="96"/>
    <n v="95"/>
    <x v="7"/>
    <s v="Excellent"/>
    <s v="Pass"/>
  </r>
  <r>
    <x v="0"/>
    <s v="group C"/>
    <s v="associate's degree"/>
    <s v="free/reduced"/>
    <s v="none"/>
    <n v="83"/>
    <n v="85"/>
    <n v="78"/>
    <x v="131"/>
    <s v="Excellent"/>
    <s v="Pass"/>
  </r>
  <r>
    <x v="0"/>
    <s v="group C"/>
    <s v="some college"/>
    <s v="standard"/>
    <s v="none"/>
    <n v="78"/>
    <n v="72"/>
    <n v="72"/>
    <x v="124"/>
    <s v="Good"/>
    <s v="Pass"/>
  </r>
  <r>
    <x v="1"/>
    <s v="group C"/>
    <s v="high school"/>
    <s v="free/reduced"/>
    <s v="none"/>
    <n v="41"/>
    <n v="43"/>
    <n v="40"/>
    <x v="181"/>
    <s v="Average"/>
    <s v="Pass"/>
  </r>
  <r>
    <x v="1"/>
    <s v="group A"/>
    <s v="high school"/>
    <s v="standard"/>
    <s v="none"/>
    <n v="77"/>
    <n v="91"/>
    <n v="87"/>
    <x v="133"/>
    <s v="Excellent"/>
    <s v="Pass"/>
  </r>
  <r>
    <x v="0"/>
    <s v="group C"/>
    <s v="bachelor's degree"/>
    <s v="standard"/>
    <s v="none"/>
    <n v="95"/>
    <n v="99"/>
    <n v="91"/>
    <x v="152"/>
    <s v="Excellent"/>
    <s v="Pass"/>
  </r>
  <r>
    <x v="1"/>
    <s v="group B"/>
    <s v="high school"/>
    <s v="free/reduced"/>
    <s v="none"/>
    <n v="50"/>
    <n v="68"/>
    <n v="66"/>
    <x v="6"/>
    <s v="Good"/>
    <s v="Pass"/>
  </r>
  <r>
    <x v="0"/>
    <s v="group C"/>
    <s v="some college"/>
    <s v="standard"/>
    <s v="none"/>
    <n v="74"/>
    <n v="76"/>
    <n v="70"/>
    <x v="62"/>
    <s v="Good"/>
    <s v="Pass"/>
  </r>
  <r>
    <x v="1"/>
    <s v="group D"/>
    <s v="bachelor's degree"/>
    <s v="standard"/>
    <s v="completed"/>
    <n v="74"/>
    <n v="93"/>
    <n v="93"/>
    <x v="129"/>
    <s v="Excellent"/>
    <s v="Pass"/>
  </r>
  <r>
    <x v="0"/>
    <s v="group E"/>
    <s v="high school"/>
    <s v="standard"/>
    <s v="none"/>
    <n v="70"/>
    <n v="62"/>
    <n v="61"/>
    <x v="50"/>
    <s v="Good"/>
    <s v="Pass"/>
  </r>
  <r>
    <x v="0"/>
    <s v="group D"/>
    <s v="associate's degree"/>
    <s v="free/reduced"/>
    <s v="none"/>
    <n v="61"/>
    <n v="59"/>
    <n v="54"/>
    <x v="87"/>
    <s v="Average"/>
    <s v="Pass"/>
  </r>
  <r>
    <x v="1"/>
    <s v="group A"/>
    <s v="master's degree"/>
    <s v="standard"/>
    <s v="completed"/>
    <n v="94"/>
    <n v="100"/>
    <n v="100"/>
    <x v="174"/>
    <s v="Excellent"/>
    <s v="Pass"/>
  </r>
  <r>
    <x v="1"/>
    <s v="group D"/>
    <s v="high school"/>
    <s v="standard"/>
    <s v="none"/>
    <n v="66"/>
    <n v="84"/>
    <n v="77"/>
    <x v="59"/>
    <s v="Good"/>
    <s v="Pass"/>
  </r>
  <r>
    <x v="1"/>
    <s v="group D"/>
    <s v="master's degree"/>
    <s v="standard"/>
    <s v="none"/>
    <n v="83"/>
    <n v="88"/>
    <n v="93"/>
    <x v="160"/>
    <s v="Excellent"/>
    <s v="Pass"/>
  </r>
  <r>
    <x v="0"/>
    <s v="group D"/>
    <s v="high school"/>
    <s v="standard"/>
    <s v="none"/>
    <n v="75"/>
    <n v="63"/>
    <n v="60"/>
    <x v="36"/>
    <s v="Good"/>
    <s v="Pass"/>
  </r>
  <r>
    <x v="0"/>
    <s v="group D"/>
    <s v="high school"/>
    <s v="free/reduced"/>
    <s v="completed"/>
    <n v="56"/>
    <n v="65"/>
    <n v="63"/>
    <x v="6"/>
    <s v="Good"/>
    <s v="Pass"/>
  </r>
  <r>
    <x v="1"/>
    <s v="group B"/>
    <s v="some college"/>
    <s v="free/reduced"/>
    <s v="none"/>
    <n v="66"/>
    <n v="88"/>
    <n v="83"/>
    <x v="48"/>
    <s v="Good"/>
    <s v="Pass"/>
  </r>
  <r>
    <x v="1"/>
    <s v="group B"/>
    <s v="high school"/>
    <s v="free/reduced"/>
    <s v="none"/>
    <n v="61"/>
    <n v="69"/>
    <n v="66"/>
    <x v="92"/>
    <s v="Good"/>
    <s v="Pass"/>
  </r>
  <r>
    <x v="0"/>
    <s v="group C"/>
    <s v="some high school"/>
    <s v="standard"/>
    <s v="completed"/>
    <n v="70"/>
    <n v="79"/>
    <n v="73"/>
    <x v="124"/>
    <s v="Good"/>
    <s v="Pass"/>
  </r>
  <r>
    <x v="0"/>
    <s v="group C"/>
    <s v="master's degree"/>
    <s v="standard"/>
    <s v="none"/>
    <n v="57"/>
    <n v="59"/>
    <n v="53"/>
    <x v="2"/>
    <s v="Average"/>
    <s v="Pass"/>
  </r>
  <r>
    <x v="1"/>
    <s v="group C"/>
    <s v="associate's degree"/>
    <s v="free/reduced"/>
    <s v="completed"/>
    <n v="78"/>
    <n v="89"/>
    <n v="90"/>
    <x v="10"/>
    <s v="Excellent"/>
    <s v="Pass"/>
  </r>
  <r>
    <x v="1"/>
    <s v="group C"/>
    <s v="some high school"/>
    <s v="standard"/>
    <s v="none"/>
    <n v="62"/>
    <n v="76"/>
    <n v="67"/>
    <x v="122"/>
    <s v="Good"/>
    <s v="Pass"/>
  </r>
  <r>
    <x v="0"/>
    <s v="group C"/>
    <s v="some high school"/>
    <s v="standard"/>
    <s v="completed"/>
    <n v="64"/>
    <n v="53"/>
    <n v="49"/>
    <x v="84"/>
    <s v="Average"/>
    <s v="Pass"/>
  </r>
  <r>
    <x v="1"/>
    <s v="group B"/>
    <s v="high school"/>
    <s v="free/reduced"/>
    <s v="none"/>
    <n v="55"/>
    <n v="66"/>
    <n v="65"/>
    <x v="33"/>
    <s v="Good"/>
    <s v="Pass"/>
  </r>
  <r>
    <x v="1"/>
    <s v="group D"/>
    <s v="some college"/>
    <s v="standard"/>
    <s v="none"/>
    <n v="72"/>
    <n v="83"/>
    <n v="83"/>
    <x v="86"/>
    <s v="Good"/>
    <s v="Pass"/>
  </r>
  <r>
    <x v="0"/>
    <s v="group A"/>
    <s v="some college"/>
    <s v="free/reduced"/>
    <s v="none"/>
    <n v="49"/>
    <n v="48"/>
    <n v="42"/>
    <x v="158"/>
    <s v="Average"/>
    <s v="Pass"/>
  </r>
  <r>
    <x v="1"/>
    <s v="group D"/>
    <s v="some college"/>
    <s v="standard"/>
    <s v="none"/>
    <n v="62"/>
    <n v="60"/>
    <n v="63"/>
    <x v="90"/>
    <s v="Good"/>
    <s v="Pass"/>
  </r>
  <r>
    <x v="0"/>
    <s v="group B"/>
    <s v="some high school"/>
    <s v="free/reduced"/>
    <s v="none"/>
    <n v="76"/>
    <n v="73"/>
    <n v="68"/>
    <x v="154"/>
    <s v="Good"/>
    <s v="Pass"/>
  </r>
  <r>
    <x v="1"/>
    <s v="group C"/>
    <s v="master's degree"/>
    <s v="standard"/>
    <s v="completed"/>
    <n v="73"/>
    <n v="86"/>
    <n v="85"/>
    <x v="58"/>
    <s v="Excellent"/>
    <s v="Pass"/>
  </r>
  <r>
    <x v="1"/>
    <s v="group C"/>
    <s v="associate's degree"/>
    <s v="standard"/>
    <s v="completed"/>
    <n v="72"/>
    <n v="76"/>
    <n v="78"/>
    <x v="66"/>
    <s v="Good"/>
    <s v="Pass"/>
  </r>
  <r>
    <x v="0"/>
    <s v="group C"/>
    <s v="high school"/>
    <s v="standard"/>
    <s v="none"/>
    <n v="85"/>
    <n v="85"/>
    <n v="76"/>
    <x v="131"/>
    <s v="Excellent"/>
    <s v="Pass"/>
  </r>
  <r>
    <x v="0"/>
    <s v="group A"/>
    <s v="some college"/>
    <s v="free/reduced"/>
    <s v="none"/>
    <n v="71"/>
    <n v="68"/>
    <n v="65"/>
    <x v="175"/>
    <s v="Good"/>
    <s v="Pass"/>
  </r>
  <r>
    <x v="1"/>
    <s v="group C"/>
    <s v="some high school"/>
    <s v="free/reduced"/>
    <s v="none"/>
    <n v="28"/>
    <n v="38"/>
    <n v="31"/>
    <x v="182"/>
    <s v="Poor"/>
    <s v="Fail"/>
  </r>
  <r>
    <x v="0"/>
    <s v="group C"/>
    <s v="high school"/>
    <s v="free/reduced"/>
    <s v="none"/>
    <n v="41"/>
    <n v="42"/>
    <n v="38"/>
    <x v="132"/>
    <s v="Average"/>
    <s v="Pass"/>
  </r>
  <r>
    <x v="0"/>
    <s v="group E"/>
    <s v="associate's degree"/>
    <s v="standard"/>
    <s v="none"/>
    <n v="78"/>
    <n v="72"/>
    <n v="68"/>
    <x v="57"/>
    <s v="Good"/>
    <s v="Pass"/>
  </r>
  <r>
    <x v="0"/>
    <s v="group C"/>
    <s v="master's degree"/>
    <s v="free/reduced"/>
    <s v="none"/>
    <n v="48"/>
    <n v="52"/>
    <n v="44"/>
    <x v="117"/>
    <s v="Average"/>
    <s v="Pass"/>
  </r>
  <r>
    <x v="0"/>
    <s v="group C"/>
    <s v="associate's degree"/>
    <s v="free/reduced"/>
    <s v="none"/>
    <n v="38"/>
    <n v="51"/>
    <n v="47"/>
    <x v="116"/>
    <s v="Average"/>
    <s v="Pass"/>
  </r>
  <r>
    <x v="1"/>
    <s v="group A"/>
    <s v="bachelor's degree"/>
    <s v="standard"/>
    <s v="completed"/>
    <n v="91"/>
    <n v="100"/>
    <n v="100"/>
    <x v="183"/>
    <s v="Excellent"/>
    <s v="Pass"/>
  </r>
  <r>
    <x v="1"/>
    <s v="group D"/>
    <s v="bachelor's degree"/>
    <s v="standard"/>
    <s v="none"/>
    <n v="71"/>
    <n v="81"/>
    <n v="80"/>
    <x v="71"/>
    <s v="Good"/>
    <s v="Pass"/>
  </r>
  <r>
    <x v="1"/>
    <s v="group D"/>
    <s v="bachelor's degree"/>
    <s v="standard"/>
    <s v="none"/>
    <n v="84"/>
    <n v="87"/>
    <n v="92"/>
    <x v="166"/>
    <s v="Excellent"/>
    <s v="Pass"/>
  </r>
  <r>
    <x v="0"/>
    <s v="group E"/>
    <s v="associate's degree"/>
    <s v="free/reduced"/>
    <s v="completed"/>
    <n v="63"/>
    <n v="60"/>
    <n v="63"/>
    <x v="33"/>
    <s v="Good"/>
    <s v="Pass"/>
  </r>
  <r>
    <x v="1"/>
    <s v="group A"/>
    <s v="associate's degree"/>
    <s v="standard"/>
    <s v="completed"/>
    <n v="70"/>
    <n v="78"/>
    <n v="87"/>
    <x v="127"/>
    <s v="Good"/>
    <s v="Pass"/>
  </r>
  <r>
    <x v="0"/>
    <s v="group B"/>
    <s v="bachelor's degree"/>
    <s v="free/reduced"/>
    <s v="completed"/>
    <n v="48"/>
    <n v="52"/>
    <n v="57"/>
    <x v="38"/>
    <s v="Average"/>
    <s v="Pass"/>
  </r>
  <r>
    <x v="0"/>
    <s v="group D"/>
    <s v="some high school"/>
    <s v="standard"/>
    <s v="completed"/>
    <n v="68"/>
    <n v="72"/>
    <n v="73"/>
    <x v="21"/>
    <s v="Good"/>
    <s v="Pass"/>
  </r>
  <r>
    <x v="1"/>
    <s v="group D"/>
    <s v="some college"/>
    <s v="standard"/>
    <s v="none"/>
    <n v="84"/>
    <n v="84"/>
    <n v="87"/>
    <x v="133"/>
    <s v="Excellent"/>
    <s v="Pass"/>
  </r>
  <r>
    <x v="0"/>
    <s v="group D"/>
    <s v="high school"/>
    <s v="standard"/>
    <s v="none"/>
    <n v="61"/>
    <n v="62"/>
    <n v="60"/>
    <x v="111"/>
    <s v="Good"/>
    <s v="Pass"/>
  </r>
  <r>
    <x v="0"/>
    <s v="group C"/>
    <s v="some high school"/>
    <s v="free/reduced"/>
    <s v="none"/>
    <n v="62"/>
    <n v="59"/>
    <n v="62"/>
    <x v="111"/>
    <s v="Good"/>
    <s v="Pass"/>
  </r>
  <r>
    <x v="1"/>
    <s v="group C"/>
    <s v="master's degree"/>
    <s v="free/reduced"/>
    <s v="none"/>
    <n v="66"/>
    <n v="78"/>
    <n v="83"/>
    <x v="59"/>
    <s v="Good"/>
    <s v="Pass"/>
  </r>
  <r>
    <x v="1"/>
    <s v="group C"/>
    <s v="high school"/>
    <s v="standard"/>
    <s v="completed"/>
    <n v="52"/>
    <n v="65"/>
    <n v="71"/>
    <x v="67"/>
    <s v="Good"/>
    <s v="Pass"/>
  </r>
  <r>
    <x v="1"/>
    <s v="group D"/>
    <s v="some college"/>
    <s v="standard"/>
    <s v="completed"/>
    <n v="68"/>
    <n v="75"/>
    <n v="73"/>
    <x v="5"/>
    <s v="Good"/>
    <s v="Pass"/>
  </r>
  <r>
    <x v="0"/>
    <s v="group D"/>
    <s v="some college"/>
    <s v="free/reduced"/>
    <s v="completed"/>
    <n v="62"/>
    <n v="68"/>
    <n v="71"/>
    <x v="30"/>
    <s v="Good"/>
    <s v="Pass"/>
  </r>
  <r>
    <x v="0"/>
    <s v="group E"/>
    <s v="bachelor's degree"/>
    <s v="standard"/>
    <s v="completed"/>
    <n v="90"/>
    <n v="88"/>
    <n v="84"/>
    <x v="106"/>
    <s v="Excellent"/>
    <s v="Pass"/>
  </r>
  <r>
    <x v="1"/>
    <s v="group A"/>
    <s v="master's degree"/>
    <s v="free/reduced"/>
    <s v="none"/>
    <n v="42"/>
    <n v="50"/>
    <n v="44"/>
    <x v="116"/>
    <s v="Average"/>
    <s v="Pass"/>
  </r>
  <r>
    <x v="0"/>
    <s v="group D"/>
    <s v="associate's degree"/>
    <s v="free/reduced"/>
    <s v="completed"/>
    <n v="74"/>
    <n v="90"/>
    <n v="89"/>
    <x v="13"/>
    <s v="Excellent"/>
    <s v="Pass"/>
  </r>
  <r>
    <x v="0"/>
    <s v="group B"/>
    <s v="associate's degree"/>
    <s v="standard"/>
    <s v="completed"/>
    <n v="62"/>
    <n v="61"/>
    <n v="61"/>
    <x v="6"/>
    <s v="Good"/>
    <s v="Pass"/>
  </r>
  <r>
    <x v="0"/>
    <s v="group C"/>
    <s v="some college"/>
    <s v="standard"/>
    <s v="none"/>
    <n v="56"/>
    <n v="55"/>
    <n v="50"/>
    <x v="42"/>
    <s v="Average"/>
    <s v="Pass"/>
  </r>
  <r>
    <x v="0"/>
    <s v="group C"/>
    <s v="high school"/>
    <s v="free/reduced"/>
    <s v="none"/>
    <n v="64"/>
    <n v="52"/>
    <n v="54"/>
    <x v="40"/>
    <s v="Average"/>
    <s v="Pass"/>
  </r>
  <r>
    <x v="0"/>
    <s v="group D"/>
    <s v="high school"/>
    <s v="standard"/>
    <s v="completed"/>
    <n v="79"/>
    <n v="84"/>
    <n v="80"/>
    <x v="27"/>
    <s v="Excellent"/>
    <s v="Pass"/>
  </r>
  <r>
    <x v="1"/>
    <s v="group C"/>
    <s v="some high school"/>
    <s v="standard"/>
    <s v="none"/>
    <n v="44"/>
    <n v="65"/>
    <n v="63"/>
    <x v="120"/>
    <s v="Average"/>
    <s v="Pass"/>
  </r>
  <r>
    <x v="1"/>
    <s v="group B"/>
    <s v="some college"/>
    <s v="standard"/>
    <s v="completed"/>
    <n v="69"/>
    <n v="94"/>
    <n v="87"/>
    <x v="100"/>
    <s v="Excellent"/>
    <s v="Pass"/>
  </r>
  <r>
    <x v="0"/>
    <s v="group A"/>
    <s v="some college"/>
    <s v="standard"/>
    <s v="none"/>
    <n v="53"/>
    <n v="48"/>
    <n v="48"/>
    <x v="107"/>
    <s v="Average"/>
    <s v="Pass"/>
  </r>
  <r>
    <x v="0"/>
    <s v="group C"/>
    <s v="high school"/>
    <s v="standard"/>
    <s v="none"/>
    <n v="74"/>
    <n v="69"/>
    <n v="61"/>
    <x v="175"/>
    <s v="Good"/>
    <s v="Pass"/>
  </r>
  <r>
    <x v="0"/>
    <s v="group C"/>
    <s v="associate's degree"/>
    <s v="standard"/>
    <s v="none"/>
    <n v="49"/>
    <n v="55"/>
    <n v="48"/>
    <x v="139"/>
    <s v="Average"/>
    <s v="Pass"/>
  </r>
  <r>
    <x v="1"/>
    <s v="group D"/>
    <s v="associate's degree"/>
    <s v="free/reduced"/>
    <s v="none"/>
    <n v="57"/>
    <n v="71"/>
    <n v="71"/>
    <x v="25"/>
    <s v="Good"/>
    <s v="Pass"/>
  </r>
  <r>
    <x v="1"/>
    <s v="group D"/>
    <s v="master's degree"/>
    <s v="standard"/>
    <s v="none"/>
    <n v="61"/>
    <n v="72"/>
    <n v="64"/>
    <x v="0"/>
    <s v="Good"/>
    <s v="Pass"/>
  </r>
  <r>
    <x v="1"/>
    <s v="group C"/>
    <s v="master's degree"/>
    <s v="free/reduced"/>
    <s v="none"/>
    <n v="65"/>
    <n v="88"/>
    <n v="84"/>
    <x v="48"/>
    <s v="Good"/>
    <s v="Pass"/>
  </r>
  <r>
    <x v="1"/>
    <s v="group C"/>
    <s v="some college"/>
    <s v="standard"/>
    <s v="none"/>
    <n v="51"/>
    <n v="60"/>
    <n v="52"/>
    <x v="74"/>
    <s v="Average"/>
    <s v="Pass"/>
  </r>
  <r>
    <x v="1"/>
    <s v="group C"/>
    <s v="some high school"/>
    <s v="standard"/>
    <s v="none"/>
    <n v="49"/>
    <n v="51"/>
    <n v="41"/>
    <x v="137"/>
    <s v="Average"/>
    <s v="Pass"/>
  </r>
  <r>
    <x v="0"/>
    <s v="group B"/>
    <s v="master's degree"/>
    <s v="free/reduced"/>
    <s v="none"/>
    <n v="56"/>
    <n v="65"/>
    <n v="56"/>
    <x v="70"/>
    <s v="Average"/>
    <s v="Pass"/>
  </r>
  <r>
    <x v="0"/>
    <s v="group D"/>
    <s v="associate's degree"/>
    <s v="standard"/>
    <s v="none"/>
    <n v="65"/>
    <n v="62"/>
    <n v="63"/>
    <x v="93"/>
    <s v="Good"/>
    <s v="Pass"/>
  </r>
  <r>
    <x v="0"/>
    <s v="group D"/>
    <s v="some college"/>
    <s v="standard"/>
    <s v="none"/>
    <n v="70"/>
    <n v="64"/>
    <n v="62"/>
    <x v="92"/>
    <s v="Good"/>
    <s v="Pass"/>
  </r>
  <r>
    <x v="0"/>
    <s v="group D"/>
    <s v="some college"/>
    <s v="standard"/>
    <s v="none"/>
    <n v="91"/>
    <n v="95"/>
    <n v="88"/>
    <x v="65"/>
    <s v="Excellent"/>
    <s v="Pass"/>
  </r>
  <r>
    <x v="1"/>
    <s v="group D"/>
    <s v="high school"/>
    <s v="standard"/>
    <s v="completed"/>
    <n v="48"/>
    <n v="56"/>
    <n v="64"/>
    <x v="113"/>
    <s v="Average"/>
    <s v="Pass"/>
  </r>
  <r>
    <x v="1"/>
    <s v="group C"/>
    <s v="associate's degree"/>
    <s v="standard"/>
    <s v="completed"/>
    <n v="94"/>
    <n v="99"/>
    <n v="100"/>
    <x v="184"/>
    <s v="Excellent"/>
    <s v="Pass"/>
  </r>
  <r>
    <x v="0"/>
    <s v="group B"/>
    <s v="master's degree"/>
    <s v="standard"/>
    <s v="none"/>
    <n v="77"/>
    <n v="76"/>
    <n v="73"/>
    <x v="66"/>
    <s v="Good"/>
    <s v="Pass"/>
  </r>
  <r>
    <x v="1"/>
    <s v="group D"/>
    <s v="some high school"/>
    <s v="standard"/>
    <s v="none"/>
    <n v="59"/>
    <n v="78"/>
    <n v="75"/>
    <x v="88"/>
    <s v="Good"/>
    <s v="Pass"/>
  </r>
  <r>
    <x v="1"/>
    <s v="group C"/>
    <s v="some college"/>
    <s v="free/reduced"/>
    <s v="none"/>
    <n v="57"/>
    <n v="75"/>
    <n v="70"/>
    <x v="112"/>
    <s v="Good"/>
    <s v="Pass"/>
  </r>
  <r>
    <x v="1"/>
    <s v="group C"/>
    <s v="some high school"/>
    <s v="standard"/>
    <s v="none"/>
    <n v="76"/>
    <n v="82"/>
    <n v="74"/>
    <x v="71"/>
    <s v="Good"/>
    <s v="Pass"/>
  </r>
  <r>
    <x v="0"/>
    <s v="group D"/>
    <s v="high school"/>
    <s v="standard"/>
    <s v="none"/>
    <n v="65"/>
    <n v="63"/>
    <n v="64"/>
    <x v="119"/>
    <s v="Good"/>
    <s v="Pass"/>
  </r>
  <r>
    <x v="1"/>
    <s v="group B"/>
    <s v="master's degree"/>
    <s v="standard"/>
    <s v="completed"/>
    <n v="75"/>
    <n v="75"/>
    <n v="83"/>
    <x v="126"/>
    <s v="Good"/>
    <s v="Pass"/>
  </r>
  <r>
    <x v="0"/>
    <s v="group D"/>
    <s v="master's degree"/>
    <s v="standard"/>
    <s v="none"/>
    <n v="70"/>
    <n v="66"/>
    <n v="65"/>
    <x v="30"/>
    <s v="Good"/>
    <s v="Pass"/>
  </r>
  <r>
    <x v="0"/>
    <s v="group C"/>
    <s v="high school"/>
    <s v="standard"/>
    <s v="completed"/>
    <n v="79"/>
    <n v="79"/>
    <n v="70"/>
    <x v="109"/>
    <s v="Good"/>
    <s v="Pass"/>
  </r>
  <r>
    <x v="1"/>
    <s v="group A"/>
    <s v="bachelor's degree"/>
    <s v="standard"/>
    <s v="completed"/>
    <n v="83"/>
    <n v="96"/>
    <n v="99"/>
    <x v="61"/>
    <s v="Excellent"/>
    <s v="Pass"/>
  </r>
  <r>
    <x v="1"/>
    <s v="group C"/>
    <s v="associate's degree"/>
    <s v="free/reduced"/>
    <s v="none"/>
    <n v="70"/>
    <n v="84"/>
    <n v="78"/>
    <x v="71"/>
    <s v="Good"/>
    <s v="Pass"/>
  </r>
  <r>
    <x v="0"/>
    <s v="group E"/>
    <s v="some high school"/>
    <s v="standard"/>
    <s v="completed"/>
    <n v="97"/>
    <n v="80"/>
    <n v="88"/>
    <x v="7"/>
    <s v="Excellent"/>
    <s v="Pass"/>
  </r>
  <r>
    <x v="1"/>
    <s v="group E"/>
    <s v="high school"/>
    <s v="free/reduced"/>
    <s v="none"/>
    <n v="33"/>
    <n v="32"/>
    <n v="35"/>
    <x v="185"/>
    <s v="Poor"/>
    <s v="Fail"/>
  </r>
  <r>
    <x v="0"/>
    <s v="group B"/>
    <s v="master's degree"/>
    <s v="free/reduced"/>
    <s v="none"/>
    <n v="38"/>
    <n v="40"/>
    <n v="41"/>
    <x v="186"/>
    <s v="Poor"/>
    <s v="Fail"/>
  </r>
  <r>
    <x v="0"/>
    <s v="group C"/>
    <s v="some college"/>
    <s v="standard"/>
    <s v="completed"/>
    <n v="46"/>
    <n v="51"/>
    <n v="47"/>
    <x v="117"/>
    <s v="Average"/>
    <s v="Pass"/>
  </r>
  <r>
    <x v="1"/>
    <s v="group D"/>
    <s v="some college"/>
    <s v="free/reduced"/>
    <s v="none"/>
    <n v="13"/>
    <n v="36"/>
    <n v="37"/>
    <x v="187"/>
    <s v="Poor"/>
    <s v="Fail"/>
  </r>
  <r>
    <x v="0"/>
    <s v="group A"/>
    <s v="master's degree"/>
    <s v="standard"/>
    <s v="none"/>
    <n v="85"/>
    <n v="83"/>
    <n v="78"/>
    <x v="131"/>
    <s v="Excellent"/>
    <s v="Pass"/>
  </r>
  <r>
    <x v="1"/>
    <s v="group B"/>
    <s v="some college"/>
    <s v="standard"/>
    <s v="none"/>
    <n v="79"/>
    <n v="79"/>
    <n v="80"/>
    <x v="86"/>
    <s v="Good"/>
    <s v="Pass"/>
  </r>
  <r>
    <x v="1"/>
    <s v="group B"/>
    <s v="some high school"/>
    <s v="standard"/>
    <s v="none"/>
    <n v="76"/>
    <n v="81"/>
    <n v="79"/>
    <x v="55"/>
    <s v="Good"/>
    <s v="Pass"/>
  </r>
  <r>
    <x v="1"/>
    <s v="group C"/>
    <s v="some high school"/>
    <s v="free/reduced"/>
    <s v="completed"/>
    <n v="53"/>
    <n v="70"/>
    <n v="65"/>
    <x v="67"/>
    <s v="Good"/>
    <s v="Pass"/>
  </r>
  <r>
    <x v="0"/>
    <s v="group A"/>
    <s v="high school"/>
    <s v="standard"/>
    <s v="completed"/>
    <n v="68"/>
    <n v="70"/>
    <n v="63"/>
    <x v="30"/>
    <s v="Good"/>
    <s v="Pass"/>
  </r>
  <r>
    <x v="0"/>
    <s v="group D"/>
    <s v="associate's degree"/>
    <s v="free/reduced"/>
    <s v="completed"/>
    <n v="67"/>
    <n v="70"/>
    <n v="70"/>
    <x v="95"/>
    <s v="Good"/>
    <s v="Pass"/>
  </r>
  <r>
    <x v="0"/>
    <s v="group E"/>
    <s v="some college"/>
    <s v="standard"/>
    <s v="completed"/>
    <n v="100"/>
    <n v="84"/>
    <n v="88"/>
    <x v="168"/>
    <s v="Excellent"/>
    <s v="Pass"/>
  </r>
  <r>
    <x v="0"/>
    <s v="group C"/>
    <s v="associate's degree"/>
    <s v="free/reduced"/>
    <s v="none"/>
    <n v="54"/>
    <n v="48"/>
    <n v="45"/>
    <x v="15"/>
    <s v="Average"/>
    <s v="Pass"/>
  </r>
  <r>
    <x v="1"/>
    <s v="group E"/>
    <s v="associate's degree"/>
    <s v="free/reduced"/>
    <s v="none"/>
    <n v="72"/>
    <n v="73"/>
    <n v="70"/>
    <x v="64"/>
    <s v="Good"/>
    <s v="Pass"/>
  </r>
  <r>
    <x v="0"/>
    <s v="group A"/>
    <s v="some college"/>
    <s v="standard"/>
    <s v="completed"/>
    <n v="91"/>
    <n v="97"/>
    <n v="95"/>
    <x v="188"/>
    <s v="Excellent"/>
    <s v="Pass"/>
  </r>
  <r>
    <x v="0"/>
    <s v="group D"/>
    <s v="master's degree"/>
    <s v="standard"/>
    <s v="completed"/>
    <n v="87"/>
    <n v="81"/>
    <n v="86"/>
    <x v="83"/>
    <s v="Excellent"/>
    <s v="Pass"/>
  </r>
  <r>
    <x v="1"/>
    <s v="group D"/>
    <s v="associate's degree"/>
    <s v="free/reduced"/>
    <s v="none"/>
    <n v="66"/>
    <n v="75"/>
    <n v="74"/>
    <x v="64"/>
    <s v="Good"/>
    <s v="Pass"/>
  </r>
  <r>
    <x v="0"/>
    <s v="group C"/>
    <s v="some high school"/>
    <s v="standard"/>
    <s v="none"/>
    <n v="65"/>
    <n v="66"/>
    <n v="64"/>
    <x v="104"/>
    <s v="Good"/>
    <s v="Pass"/>
  </r>
  <r>
    <x v="1"/>
    <s v="group E"/>
    <s v="associate's degree"/>
    <s v="free/reduced"/>
    <s v="completed"/>
    <n v="41"/>
    <n v="56"/>
    <n v="53"/>
    <x v="149"/>
    <s v="Average"/>
    <s v="Pass"/>
  </r>
  <r>
    <x v="1"/>
    <s v="group C"/>
    <s v="associate's degree"/>
    <s v="standard"/>
    <s v="none"/>
    <n v="67"/>
    <n v="69"/>
    <n v="65"/>
    <x v="30"/>
    <s v="Good"/>
    <s v="Pass"/>
  </r>
  <r>
    <x v="0"/>
    <s v="group E"/>
    <s v="high school"/>
    <s v="standard"/>
    <s v="none"/>
    <n v="94"/>
    <n v="89"/>
    <n v="86"/>
    <x v="102"/>
    <s v="Excellent"/>
    <s v="Pass"/>
  </r>
  <r>
    <x v="1"/>
    <s v="group B"/>
    <s v="bachelor's degree"/>
    <s v="free/reduced"/>
    <s v="completed"/>
    <n v="57"/>
    <n v="70"/>
    <n v="68"/>
    <x v="104"/>
    <s v="Good"/>
    <s v="Pass"/>
  </r>
  <r>
    <x v="0"/>
    <s v="group A"/>
    <s v="high school"/>
    <s v="standard"/>
    <s v="none"/>
    <n v="89"/>
    <n v="83"/>
    <n v="80"/>
    <x v="26"/>
    <s v="Excellent"/>
    <s v="Pass"/>
  </r>
  <r>
    <x v="0"/>
    <s v="group A"/>
    <s v="associate's degree"/>
    <s v="standard"/>
    <s v="completed"/>
    <n v="77"/>
    <n v="73"/>
    <n v="80"/>
    <x v="75"/>
    <s v="Good"/>
    <s v="Pass"/>
  </r>
  <r>
    <x v="0"/>
    <s v="group C"/>
    <s v="some high school"/>
    <s v="standard"/>
    <s v="none"/>
    <n v="57"/>
    <n v="60"/>
    <n v="50"/>
    <x v="46"/>
    <s v="Average"/>
    <s v="Pass"/>
  </r>
  <r>
    <x v="0"/>
    <s v="group D"/>
    <s v="some college"/>
    <s v="standard"/>
    <s v="completed"/>
    <n v="72"/>
    <n v="72"/>
    <n v="72"/>
    <x v="5"/>
    <s v="Good"/>
    <s v="Pass"/>
  </r>
  <r>
    <x v="0"/>
    <s v="group D"/>
    <s v="bachelor's degree"/>
    <s v="standard"/>
    <s v="completed"/>
    <n v="98"/>
    <n v="94"/>
    <n v="95"/>
    <x v="189"/>
    <s v="Excellent"/>
    <s v="Pass"/>
  </r>
  <r>
    <x v="1"/>
    <s v="group D"/>
    <s v="master's degree"/>
    <s v="standard"/>
    <s v="none"/>
    <n v="87"/>
    <n v="97"/>
    <n v="100"/>
    <x v="190"/>
    <s v="Excellent"/>
    <s v="Pass"/>
  </r>
  <r>
    <x v="0"/>
    <s v="group C"/>
    <s v="some high school"/>
    <s v="free/reduced"/>
    <s v="none"/>
    <n v="61"/>
    <n v="57"/>
    <n v="55"/>
    <x v="81"/>
    <s v="Average"/>
    <s v="Pass"/>
  </r>
  <r>
    <x v="1"/>
    <s v="group C"/>
    <s v="master's degree"/>
    <s v="standard"/>
    <s v="none"/>
    <n v="85"/>
    <n v="100"/>
    <n v="97"/>
    <x v="171"/>
    <s v="Excellent"/>
    <s v="Pass"/>
  </r>
  <r>
    <x v="1"/>
    <s v="group D"/>
    <s v="some high school"/>
    <s v="standard"/>
    <s v="none"/>
    <n v="81"/>
    <n v="85"/>
    <n v="91"/>
    <x v="10"/>
    <s v="Excellent"/>
    <s v="Pass"/>
  </r>
  <r>
    <x v="1"/>
    <s v="group D"/>
    <s v="high school"/>
    <s v="standard"/>
    <s v="completed"/>
    <n v="74"/>
    <n v="84"/>
    <n v="79"/>
    <x v="48"/>
    <s v="Good"/>
    <s v="Pass"/>
  </r>
  <r>
    <x v="0"/>
    <s v="group C"/>
    <s v="bachelor's degree"/>
    <s v="standard"/>
    <s v="none"/>
    <n v="98"/>
    <n v="92"/>
    <n v="90"/>
    <x v="191"/>
    <s v="Excellent"/>
    <s v="Pass"/>
  </r>
  <r>
    <x v="1"/>
    <s v="group D"/>
    <s v="some college"/>
    <s v="standard"/>
    <s v="none"/>
    <n v="86"/>
    <n v="84"/>
    <n v="89"/>
    <x v="123"/>
    <s v="Excellent"/>
    <s v="Pass"/>
  </r>
  <r>
    <x v="0"/>
    <s v="group C"/>
    <s v="bachelor's degree"/>
    <s v="standard"/>
    <s v="completed"/>
    <n v="85"/>
    <n v="81"/>
    <n v="82"/>
    <x v="35"/>
    <s v="Excellent"/>
    <s v="Pass"/>
  </r>
  <r>
    <x v="0"/>
    <s v="group C"/>
    <s v="some college"/>
    <s v="standard"/>
    <s v="none"/>
    <n v="68"/>
    <n v="71"/>
    <n v="63"/>
    <x v="112"/>
    <s v="Good"/>
    <s v="Pass"/>
  </r>
  <r>
    <x v="1"/>
    <s v="group E"/>
    <s v="high school"/>
    <s v="free/reduced"/>
    <s v="completed"/>
    <n v="66"/>
    <n v="78"/>
    <n v="77"/>
    <x v="12"/>
    <s v="Good"/>
    <s v="Pass"/>
  </r>
  <r>
    <x v="0"/>
    <s v="group B"/>
    <s v="some high school"/>
    <s v="free/reduced"/>
    <s v="completed"/>
    <n v="75"/>
    <n v="74"/>
    <n v="71"/>
    <x v="62"/>
    <s v="Good"/>
    <s v="Pass"/>
  </r>
  <r>
    <x v="0"/>
    <s v="group C"/>
    <s v="bachelor's degree"/>
    <s v="standard"/>
    <s v="none"/>
    <n v="79"/>
    <n v="57"/>
    <n v="58"/>
    <x v="103"/>
    <s v="Good"/>
    <s v="Pass"/>
  </r>
  <r>
    <x v="1"/>
    <s v="group B"/>
    <s v="bachelor's degree"/>
    <s v="free/reduced"/>
    <s v="none"/>
    <n v="59"/>
    <n v="85"/>
    <n v="82"/>
    <x v="66"/>
    <s v="Good"/>
    <s v="Pass"/>
  </r>
  <r>
    <x v="0"/>
    <s v="group B"/>
    <s v="master's degree"/>
    <s v="free/reduced"/>
    <s v="none"/>
    <n v="60"/>
    <n v="62"/>
    <n v="58"/>
    <x v="39"/>
    <s v="Good"/>
    <s v="Pass"/>
  </r>
  <r>
    <x v="0"/>
    <s v="group D"/>
    <s v="high school"/>
    <s v="standard"/>
    <s v="none"/>
    <n v="69"/>
    <n v="60"/>
    <n v="54"/>
    <x v="111"/>
    <s v="Good"/>
    <s v="Pass"/>
  </r>
  <r>
    <x v="1"/>
    <s v="group B"/>
    <s v="high school"/>
    <s v="free/reduced"/>
    <s v="none"/>
    <n v="49"/>
    <n v="54"/>
    <n v="58"/>
    <x v="42"/>
    <s v="Average"/>
    <s v="Pass"/>
  </r>
  <r>
    <x v="0"/>
    <s v="group D"/>
    <s v="some college"/>
    <s v="standard"/>
    <s v="none"/>
    <n v="62"/>
    <n v="44"/>
    <n v="52"/>
    <x v="147"/>
    <s v="Average"/>
    <s v="Pass"/>
  </r>
  <r>
    <x v="1"/>
    <s v="group E"/>
    <s v="high school"/>
    <s v="free/reduced"/>
    <s v="completed"/>
    <n v="70"/>
    <n v="84"/>
    <n v="83"/>
    <x v="48"/>
    <s v="Good"/>
    <s v="Pass"/>
  </r>
  <r>
    <x v="0"/>
    <s v="group D"/>
    <s v="bachelor's degree"/>
    <s v="standard"/>
    <s v="none"/>
    <n v="71"/>
    <n v="57"/>
    <n v="60"/>
    <x v="67"/>
    <s v="Good"/>
    <s v="Pass"/>
  </r>
  <r>
    <x v="0"/>
    <s v="group C"/>
    <s v="bachelor's degree"/>
    <s v="standard"/>
    <s v="none"/>
    <n v="71"/>
    <n v="69"/>
    <n v="65"/>
    <x v="122"/>
    <s v="Good"/>
    <s v="Pass"/>
  </r>
  <r>
    <x v="1"/>
    <s v="group C"/>
    <s v="some high school"/>
    <s v="free/reduced"/>
    <s v="none"/>
    <n v="50"/>
    <n v="59"/>
    <n v="54"/>
    <x v="74"/>
    <s v="Average"/>
    <s v="Pass"/>
  </r>
  <r>
    <x v="1"/>
    <s v="group B"/>
    <s v="high school"/>
    <s v="standard"/>
    <s v="none"/>
    <n v="52"/>
    <n v="55"/>
    <n v="57"/>
    <x v="163"/>
    <s v="Average"/>
    <s v="Pass"/>
  </r>
  <r>
    <x v="0"/>
    <s v="group E"/>
    <s v="some college"/>
    <s v="free/reduced"/>
    <s v="completed"/>
    <n v="75"/>
    <n v="65"/>
    <n v="66"/>
    <x v="145"/>
    <s v="Good"/>
    <s v="Pass"/>
  </r>
  <r>
    <x v="1"/>
    <s v="group C"/>
    <s v="bachelor's degree"/>
    <s v="standard"/>
    <s v="none"/>
    <n v="51"/>
    <n v="64"/>
    <n v="63"/>
    <x v="43"/>
    <s v="Average"/>
    <s v="Pass"/>
  </r>
  <r>
    <x v="0"/>
    <s v="group C"/>
    <s v="some high school"/>
    <s v="standard"/>
    <s v="none"/>
    <n v="64"/>
    <n v="48"/>
    <n v="50"/>
    <x v="69"/>
    <s v="Average"/>
    <s v="Pass"/>
  </r>
  <r>
    <x v="1"/>
    <s v="group A"/>
    <s v="some college"/>
    <s v="free/reduced"/>
    <s v="completed"/>
    <n v="65"/>
    <n v="76"/>
    <n v="72"/>
    <x v="21"/>
    <s v="Good"/>
    <s v="Pass"/>
  </r>
  <r>
    <x v="0"/>
    <s v="group B"/>
    <s v="master's degree"/>
    <s v="standard"/>
    <s v="none"/>
    <n v="99"/>
    <n v="81"/>
    <n v="87"/>
    <x v="9"/>
    <s v="Excellent"/>
    <s v="Pass"/>
  </r>
  <r>
    <x v="1"/>
    <s v="group B"/>
    <s v="associate's degree"/>
    <s v="standard"/>
    <s v="none"/>
    <n v="60"/>
    <n v="62"/>
    <n v="58"/>
    <x v="39"/>
    <s v="Good"/>
    <s v="Pass"/>
  </r>
  <r>
    <x v="1"/>
    <s v="group B"/>
    <s v="some college"/>
    <s v="standard"/>
    <s v="none"/>
    <n v="70"/>
    <n v="78"/>
    <n v="80"/>
    <x v="109"/>
    <s v="Good"/>
    <s v="Pass"/>
  </r>
  <r>
    <x v="0"/>
    <s v="group A"/>
    <s v="some college"/>
    <s v="standard"/>
    <s v="completed"/>
    <n v="77"/>
    <n v="76"/>
    <n v="77"/>
    <x v="75"/>
    <s v="Good"/>
    <s v="Pass"/>
  </r>
  <r>
    <x v="0"/>
    <s v="group B"/>
    <s v="high school"/>
    <s v="free/reduced"/>
    <s v="none"/>
    <n v="37"/>
    <n v="28"/>
    <n v="23"/>
    <x v="159"/>
    <s v="Poor"/>
    <s v="Fail"/>
  </r>
  <r>
    <x v="0"/>
    <s v="group E"/>
    <s v="associate's degree"/>
    <s v="free/reduced"/>
    <s v="none"/>
    <n v="73"/>
    <n v="73"/>
    <n v="61"/>
    <x v="95"/>
    <s v="Good"/>
    <s v="Pass"/>
  </r>
  <r>
    <x v="1"/>
    <s v="group B"/>
    <s v="associate's degree"/>
    <s v="free/reduced"/>
    <s v="completed"/>
    <n v="53"/>
    <n v="74"/>
    <n v="75"/>
    <x v="112"/>
    <s v="Good"/>
    <s v="Pass"/>
  </r>
  <r>
    <x v="1"/>
    <s v="group B"/>
    <s v="associate's degree"/>
    <s v="standard"/>
    <s v="none"/>
    <n v="67"/>
    <n v="58"/>
    <n v="62"/>
    <x v="14"/>
    <s v="Good"/>
    <s v="Pass"/>
  </r>
  <r>
    <x v="1"/>
    <s v="group B"/>
    <s v="some college"/>
    <s v="free/reduced"/>
    <s v="none"/>
    <n v="67"/>
    <n v="79"/>
    <n v="80"/>
    <x v="66"/>
    <s v="Good"/>
    <s v="Pass"/>
  </r>
  <r>
    <x v="0"/>
    <s v="group B"/>
    <s v="high school"/>
    <s v="free/reduced"/>
    <s v="none"/>
    <n v="51"/>
    <n v="57"/>
    <n v="50"/>
    <x v="147"/>
    <s v="Average"/>
    <s v="Pass"/>
  </r>
  <r>
    <x v="0"/>
    <s v="group D"/>
    <s v="high school"/>
    <s v="standard"/>
    <s v="completed"/>
    <n v="64"/>
    <n v="71"/>
    <n v="70"/>
    <x v="122"/>
    <s v="Good"/>
    <s v="Pass"/>
  </r>
  <r>
    <x v="0"/>
    <s v="group E"/>
    <s v="some college"/>
    <s v="free/reduced"/>
    <s v="none"/>
    <n v="55"/>
    <n v="42"/>
    <n v="43"/>
    <x v="79"/>
    <s v="Average"/>
    <s v="Pass"/>
  </r>
  <r>
    <x v="0"/>
    <s v="group D"/>
    <s v="associate's degree"/>
    <s v="free/reduced"/>
    <s v="completed"/>
    <n v="55"/>
    <n v="39"/>
    <n v="51"/>
    <x v="91"/>
    <s v="Average"/>
    <s v="Pass"/>
  </r>
  <r>
    <x v="0"/>
    <s v="group E"/>
    <s v="associate's degree"/>
    <s v="standard"/>
    <s v="none"/>
    <n v="86"/>
    <n v="77"/>
    <n v="78"/>
    <x v="77"/>
    <s v="Excellent"/>
    <s v="Pass"/>
  </r>
  <r>
    <x v="1"/>
    <s v="group B"/>
    <s v="master's degree"/>
    <s v="standard"/>
    <s v="none"/>
    <n v="71"/>
    <n v="88"/>
    <n v="85"/>
    <x v="58"/>
    <s v="Excellent"/>
    <s v="Pass"/>
  </r>
  <r>
    <x v="0"/>
    <s v="group C"/>
    <s v="high school"/>
    <s v="free/reduced"/>
    <s v="none"/>
    <n v="71"/>
    <n v="63"/>
    <n v="64"/>
    <x v="36"/>
    <s v="Good"/>
    <s v="Pass"/>
  </r>
  <r>
    <x v="1"/>
    <s v="group C"/>
    <s v="some high school"/>
    <s v="free/reduced"/>
    <s v="none"/>
    <n v="51"/>
    <n v="67"/>
    <n v="69"/>
    <x v="14"/>
    <s v="Good"/>
    <s v="Pass"/>
  </r>
  <r>
    <x v="1"/>
    <s v="group E"/>
    <s v="some college"/>
    <s v="standard"/>
    <s v="completed"/>
    <n v="75"/>
    <n v="76"/>
    <n v="85"/>
    <x v="55"/>
    <s v="Good"/>
    <s v="Pass"/>
  </r>
  <r>
    <x v="0"/>
    <s v="group C"/>
    <s v="some high school"/>
    <s v="free/reduced"/>
    <s v="none"/>
    <n v="45"/>
    <n v="31"/>
    <n v="27"/>
    <x v="192"/>
    <s v="Poor"/>
    <s v="Fail"/>
  </r>
  <r>
    <x v="0"/>
    <s v="group B"/>
    <s v="some high school"/>
    <s v="standard"/>
    <s v="none"/>
    <n v="59"/>
    <n v="54"/>
    <n v="48"/>
    <x v="42"/>
    <s v="Average"/>
    <s v="Pass"/>
  </r>
  <r>
    <x v="1"/>
    <s v="group E"/>
    <s v="high school"/>
    <s v="free/reduced"/>
    <s v="none"/>
    <n v="64"/>
    <n v="69"/>
    <n v="68"/>
    <x v="30"/>
    <s v="Good"/>
    <s v="Pass"/>
  </r>
  <r>
    <x v="0"/>
    <s v="group A"/>
    <s v="some college"/>
    <s v="standard"/>
    <s v="completed"/>
    <n v="78"/>
    <n v="69"/>
    <n v="73"/>
    <x v="62"/>
    <s v="Good"/>
    <s v="Pass"/>
  </r>
  <r>
    <x v="0"/>
    <s v="group D"/>
    <s v="high school"/>
    <s v="free/reduced"/>
    <s v="none"/>
    <n v="59"/>
    <n v="61"/>
    <n v="58"/>
    <x v="43"/>
    <s v="Average"/>
    <s v="Pass"/>
  </r>
  <r>
    <x v="0"/>
    <s v="group E"/>
    <s v="bachelor's degree"/>
    <s v="free/reduced"/>
    <s v="none"/>
    <n v="80"/>
    <n v="70"/>
    <n v="71"/>
    <x v="12"/>
    <s v="Good"/>
    <s v="Pass"/>
  </r>
  <r>
    <x v="0"/>
    <s v="group B"/>
    <s v="associate's degree"/>
    <s v="standard"/>
    <s v="completed"/>
    <n v="68"/>
    <n v="82"/>
    <n v="77"/>
    <x v="59"/>
    <s v="Good"/>
    <s v="Pass"/>
  </r>
  <r>
    <x v="1"/>
    <s v="group B"/>
    <s v="associate's degree"/>
    <s v="standard"/>
    <s v="none"/>
    <n v="77"/>
    <n v="81"/>
    <n v="79"/>
    <x v="48"/>
    <s v="Good"/>
    <s v="Pass"/>
  </r>
  <r>
    <x v="0"/>
    <s v="group C"/>
    <s v="high school"/>
    <s v="standard"/>
    <s v="none"/>
    <n v="66"/>
    <n v="67"/>
    <n v="64"/>
    <x v="0"/>
    <s v="Good"/>
    <s v="Pass"/>
  </r>
  <r>
    <x v="1"/>
    <s v="group C"/>
    <s v="some college"/>
    <s v="free/reduced"/>
    <s v="completed"/>
    <n v="26"/>
    <n v="44"/>
    <n v="46"/>
    <x v="23"/>
    <s v="Poor"/>
    <s v="Fail"/>
  </r>
  <r>
    <x v="0"/>
    <s v="group D"/>
    <s v="some college"/>
    <s v="standard"/>
    <s v="completed"/>
    <n v="80"/>
    <n v="66"/>
    <n v="69"/>
    <x v="64"/>
    <s v="Good"/>
    <s v="Pass"/>
  </r>
  <r>
    <x v="1"/>
    <s v="group D"/>
    <s v="some high school"/>
    <s v="free/reduced"/>
    <s v="none"/>
    <n v="48"/>
    <n v="62"/>
    <n v="61"/>
    <x v="82"/>
    <s v="Average"/>
    <s v="Pass"/>
  </r>
  <r>
    <x v="1"/>
    <s v="group A"/>
    <s v="associate's degree"/>
    <s v="standard"/>
    <s v="none"/>
    <n v="52"/>
    <n v="64"/>
    <n v="55"/>
    <x v="82"/>
    <s v="Average"/>
    <s v="Pass"/>
  </r>
  <r>
    <x v="1"/>
    <s v="group D"/>
    <s v="master's degree"/>
    <s v="free/reduced"/>
    <s v="none"/>
    <n v="54"/>
    <n v="64"/>
    <n v="64"/>
    <x v="54"/>
    <s v="Good"/>
    <s v="Pass"/>
  </r>
  <r>
    <x v="1"/>
    <s v="group C"/>
    <s v="some college"/>
    <s v="standard"/>
    <s v="completed"/>
    <n v="59"/>
    <n v="68"/>
    <n v="67"/>
    <x v="103"/>
    <s v="Good"/>
    <s v="Pass"/>
  </r>
  <r>
    <x v="2"/>
    <s v="race/ethnicity"/>
    <s v="parental level of education"/>
    <s v="lunch"/>
    <s v="test preparation course"/>
    <s v="math score"/>
    <s v="reading score"/>
    <s v="writing score"/>
    <x v="193"/>
    <e v="#DIV/0!"/>
    <e v="#DIV/0!"/>
  </r>
  <r>
    <x v="0"/>
    <s v="group A"/>
    <s v="high school"/>
    <s v="standard"/>
    <s v="completed"/>
    <n v="67.422391375727699"/>
    <n v="70.233958311862906"/>
    <n v="68.882094520912403"/>
    <x v="194"/>
    <s v="Good"/>
    <s v="Pass"/>
  </r>
  <r>
    <x v="1"/>
    <s v="group D"/>
    <s v="some high school"/>
    <s v="free/reduced"/>
    <s v="none"/>
    <n v="67.424507972964193"/>
    <n v="70.236148499465699"/>
    <n v="68.884266525054699"/>
    <x v="195"/>
    <s v="Good"/>
    <s v="Pass"/>
  </r>
  <r>
    <x v="0"/>
    <s v="group E"/>
    <s v="some college"/>
    <s v="free/reduced"/>
    <s v="none"/>
    <n v="67.426624570200602"/>
    <n v="70.238338687068506"/>
    <n v="68.886438529196894"/>
    <x v="196"/>
    <s v="Good"/>
    <s v="Pass"/>
  </r>
  <r>
    <x v="0"/>
    <s v="group B"/>
    <s v="high school"/>
    <s v="standard"/>
    <s v="none"/>
    <n v="67.428741167437096"/>
    <n v="70.240528874671298"/>
    <n v="68.888610533339204"/>
    <x v="197"/>
    <s v="Good"/>
    <s v="Pass"/>
  </r>
  <r>
    <x v="0"/>
    <s v="group E"/>
    <s v="associate's degree"/>
    <s v="standard"/>
    <s v="completed"/>
    <n v="67.430857764673604"/>
    <n v="70.242719062274105"/>
    <n v="68.890782537481499"/>
    <x v="198"/>
    <s v="Good"/>
    <s v="Pass"/>
  </r>
  <r>
    <x v="1"/>
    <s v="group D"/>
    <s v="high school"/>
    <s v="standard"/>
    <s v="none"/>
    <n v="67.432974361909999"/>
    <n v="70.244909249876798"/>
    <n v="68.892954541623794"/>
    <x v="199"/>
    <s v="Good"/>
    <s v="Pass"/>
  </r>
  <r>
    <x v="1"/>
    <s v="group A"/>
    <s v="bachelor's degree"/>
    <s v="standard"/>
    <s v="none"/>
    <n v="67.435090959146507"/>
    <n v="70.247099437479605"/>
    <n v="68.895126545766004"/>
    <x v="200"/>
    <s v="Good"/>
    <s v="Pass"/>
  </r>
  <r>
    <x v="0"/>
    <s v="group E"/>
    <s v="some college"/>
    <s v="standard"/>
    <s v="completed"/>
    <n v="67.437207556383001"/>
    <n v="70.249289625082397"/>
    <n v="68.897298549908299"/>
    <x v="201"/>
    <s v="Good"/>
    <s v="Pass"/>
  </r>
  <r>
    <x v="0"/>
    <s v="group D"/>
    <s v="high school"/>
    <s v="standard"/>
    <s v="none"/>
    <n v="67.439324153619495"/>
    <n v="70.251479812685204"/>
    <n v="68.899470554050595"/>
    <x v="202"/>
    <s v="Good"/>
    <s v="Pass"/>
  </r>
  <r>
    <x v="0"/>
    <s v="group C"/>
    <s v="some college"/>
    <s v="free/reduced"/>
    <s v="none"/>
    <n v="67.441440750855904"/>
    <n v="70.253670000287997"/>
    <n v="68.901642558192904"/>
    <x v="203"/>
    <s v="Good"/>
    <s v="Pass"/>
  </r>
  <r>
    <x v="0"/>
    <s v="group E"/>
    <s v="some college"/>
    <s v="standard"/>
    <s v="completed"/>
    <n v="67.443557348092398"/>
    <n v="70.255860187890804"/>
    <n v="68.903814562335199"/>
    <x v="204"/>
    <s v="Good"/>
    <s v="Pass"/>
  </r>
  <r>
    <x v="1"/>
    <s v="group D"/>
    <s v="high school"/>
    <s v="standard"/>
    <s v="completed"/>
    <n v="67.445673945328807"/>
    <n v="70.258050375493596"/>
    <n v="68.905986566477395"/>
    <x v="205"/>
    <s v="Good"/>
    <s v="Pass"/>
  </r>
  <r>
    <x v="0"/>
    <s v="group D"/>
    <s v="associate's degree"/>
    <s v="standard"/>
    <s v="completed"/>
    <n v="67.447790542565301"/>
    <n v="70.260240563096303"/>
    <n v="68.908158570619705"/>
    <x v="206"/>
    <s v="Good"/>
    <s v="Pass"/>
  </r>
  <r>
    <x v="0"/>
    <s v="group C"/>
    <s v="high school"/>
    <s v="standard"/>
    <s v="completed"/>
    <n v="67.449907139801795"/>
    <n v="70.262430750699096"/>
    <n v="68.910330574762"/>
    <x v="207"/>
    <s v="Good"/>
    <s v="Pass"/>
  </r>
  <r>
    <x v="0"/>
    <s v="group E"/>
    <s v="some high school"/>
    <s v="standard"/>
    <s v="completed"/>
    <n v="67.452023737038203"/>
    <n v="70.264620938301903"/>
    <n v="68.912502578904295"/>
    <x v="208"/>
    <s v="Good"/>
    <s v="Pass"/>
  </r>
  <r>
    <x v="0"/>
    <s v="group E"/>
    <s v="associate's degree"/>
    <s v="free/reduced"/>
    <s v="none"/>
    <n v="67.454140334274697"/>
    <n v="70.266811125904695"/>
    <n v="68.914674583046505"/>
    <x v="209"/>
    <s v="Good"/>
    <s v="Pass"/>
  </r>
  <r>
    <x v="0"/>
    <s v="group B"/>
    <s v="high school"/>
    <s v="standard"/>
    <s v="none"/>
    <n v="67.456256931511206"/>
    <n v="70.269001313507502"/>
    <n v="68.9168465871888"/>
    <x v="210"/>
    <s v="Good"/>
    <s v="Pass"/>
  </r>
  <r>
    <x v="1"/>
    <s v="group C"/>
    <s v="associate's degree"/>
    <s v="standard"/>
    <s v="completed"/>
    <n v="67.4583735287477"/>
    <n v="70.271191501110295"/>
    <n v="68.919018591331096"/>
    <x v="211"/>
    <s v="Good"/>
    <s v="Pass"/>
  </r>
  <r>
    <x v="1"/>
    <s v="group C"/>
    <s v="associate's degree"/>
    <s v="free/reduced"/>
    <s v="none"/>
    <n v="67.460490125984094"/>
    <n v="70.273381688713101"/>
    <n v="68.921190595473405"/>
    <x v="212"/>
    <s v="Good"/>
    <s v="Pass"/>
  </r>
  <r>
    <x v="0"/>
    <s v="group C"/>
    <s v="some college"/>
    <s v="free/reduced"/>
    <s v="none"/>
    <n v="67.462606723220603"/>
    <n v="70.275571876315894"/>
    <n v="68.9233625996157"/>
    <x v="213"/>
    <s v="Good"/>
    <s v="Pass"/>
  </r>
  <r>
    <x v="1"/>
    <s v="group C"/>
    <s v="associate's degree"/>
    <s v="standard"/>
    <s v="none"/>
    <n v="67.464723320457097"/>
    <n v="70.277762063918601"/>
    <n v="68.925534603757896"/>
    <x v="214"/>
    <s v="Good"/>
    <s v="Pass"/>
  </r>
  <r>
    <x v="0"/>
    <s v="group C"/>
    <s v="associate's degree"/>
    <s v="standard"/>
    <s v="none"/>
    <n v="67.466839917693505"/>
    <n v="70.279952251521394"/>
    <n v="68.927706607900205"/>
    <x v="215"/>
    <s v="Good"/>
    <s v="Pass"/>
  </r>
  <r>
    <x v="0"/>
    <s v="group B"/>
    <s v="some college"/>
    <s v="standard"/>
    <s v="completed"/>
    <n v="67.468956514929999"/>
    <n v="70.2821424391242"/>
    <n v="68.929878612042501"/>
    <x v="216"/>
    <s v="Good"/>
    <s v="Pass"/>
  </r>
  <r>
    <x v="1"/>
    <s v="group B"/>
    <s v="some college"/>
    <s v="free/reduced"/>
    <s v="none"/>
    <n v="67.471073112166494"/>
    <n v="70.284332626726993"/>
    <n v="68.932050616184796"/>
    <x v="217"/>
    <s v="Good"/>
    <s v="Pass"/>
  </r>
  <r>
    <x v="0"/>
    <s v="group E"/>
    <s v="some high school"/>
    <s v="free/reduced"/>
    <s v="none"/>
    <n v="67.473189709402902"/>
    <n v="70.2865228143298"/>
    <n v="68.934222620327006"/>
    <x v="218"/>
    <s v="Good"/>
    <s v="Pass"/>
  </r>
  <r>
    <x v="0"/>
    <s v="group C"/>
    <s v="high school"/>
    <s v="free/reduced"/>
    <s v="none"/>
    <n v="67.475306306639396"/>
    <n v="70.288713001932607"/>
    <n v="68.936394624469301"/>
    <x v="219"/>
    <s v="Good"/>
    <s v="Pass"/>
  </r>
  <r>
    <x v="1"/>
    <s v="group C"/>
    <s v="some high school"/>
    <s v="standard"/>
    <s v="none"/>
    <n v="67.477422903875905"/>
    <n v="70.2909031895353"/>
    <n v="68.938566628611596"/>
    <x v="220"/>
    <s v="Good"/>
    <s v="Pass"/>
  </r>
  <r>
    <x v="0"/>
    <s v="group E"/>
    <s v="high school"/>
    <s v="standard"/>
    <s v="none"/>
    <n v="67.479539501112299"/>
    <n v="70.293093377138106"/>
    <n v="68.940738632753906"/>
    <x v="221"/>
    <s v="Good"/>
    <s v="Pass"/>
  </r>
  <r>
    <x v="1"/>
    <s v="group B"/>
    <s v="high school"/>
    <s v="standard"/>
    <s v="completed"/>
    <n v="67.481656098348793"/>
    <n v="70.295283564740899"/>
    <n v="68.942910636896102"/>
    <x v="222"/>
    <s v="Good"/>
    <s v="Pass"/>
  </r>
  <r>
    <x v="1"/>
    <s v="group A"/>
    <s v="some high school"/>
    <s v="free/reduced"/>
    <s v="none"/>
    <n v="67.483772695585301"/>
    <n v="70.297473752343706"/>
    <n v="68.945082641038397"/>
    <x v="223"/>
    <s v="Good"/>
    <s v="Pass"/>
  </r>
  <r>
    <x v="0"/>
    <s v="group B"/>
    <s v="some college"/>
    <s v="standard"/>
    <s v="none"/>
    <n v="67.485889292821696"/>
    <n v="70.299663939946498"/>
    <n v="68.947254645180706"/>
    <x v="224"/>
    <s v="Good"/>
    <s v="Pass"/>
  </r>
  <r>
    <x v="0"/>
    <s v="group A"/>
    <s v="bachelor's degree"/>
    <s v="free/reduced"/>
    <s v="none"/>
    <n v="67.488005890058204"/>
    <n v="70.301854127549305"/>
    <n v="68.949426649323001"/>
    <x v="225"/>
    <s v="Good"/>
    <s v="Pass"/>
  </r>
  <r>
    <x v="0"/>
    <s v="group A"/>
    <s v="some high school"/>
    <s v="free/reduced"/>
    <s v="completed"/>
    <n v="67.490122487294698"/>
    <n v="70.304044315152098"/>
    <n v="68.951598653465297"/>
    <x v="226"/>
    <s v="Good"/>
    <s v="Pass"/>
  </r>
  <r>
    <x v="1"/>
    <s v="group B"/>
    <s v="associate's degree"/>
    <s v="standard"/>
    <s v="completed"/>
    <n v="67.492239084531107"/>
    <n v="70.306234502754805"/>
    <n v="68.953770657607507"/>
    <x v="227"/>
    <s v="Good"/>
    <s v="Pass"/>
  </r>
  <r>
    <x v="1"/>
    <s v="group B"/>
    <s v="bachelor's degree"/>
    <s v="standard"/>
    <s v="completed"/>
    <n v="67.494355681767601"/>
    <n v="70.308424690357597"/>
    <n v="68.955942661749802"/>
    <x v="228"/>
    <s v="Good"/>
    <s v="Pass"/>
  </r>
  <r>
    <x v="1"/>
    <s v="group A"/>
    <s v="bachelor's degree"/>
    <s v="standard"/>
    <s v="none"/>
    <n v="67.496472279004095"/>
    <n v="70.310614877960404"/>
    <n v="68.958114665892097"/>
    <x v="229"/>
    <s v="Good"/>
    <s v="Pass"/>
  </r>
  <r>
    <x v="1"/>
    <s v="group C"/>
    <s v="some college"/>
    <s v="standard"/>
    <s v="completed"/>
    <n v="67.498588876240504"/>
    <n v="70.312805065563197"/>
    <n v="68.960286670034407"/>
    <x v="230"/>
    <s v="Good"/>
    <s v="Pass"/>
  </r>
  <r>
    <x v="0"/>
    <s v="group B"/>
    <s v="high school"/>
    <s v="free/reduced"/>
    <s v="none"/>
    <n v="67.500705473476998"/>
    <n v="70.314995253166003"/>
    <n v="68.962458674176602"/>
    <x v="231"/>
    <s v="Good"/>
    <s v="Pass"/>
  </r>
  <r>
    <x v="1"/>
    <s v="group B"/>
    <s v="some college"/>
    <s v="free/reduced"/>
    <s v="completed"/>
    <n v="67.502822070713506"/>
    <n v="70.317185440768796"/>
    <n v="68.964630678318898"/>
    <x v="232"/>
    <s v="Good"/>
    <s v="Pass"/>
  </r>
  <r>
    <x v="0"/>
    <s v="group E"/>
    <s v="associate's degree"/>
    <s v="standard"/>
    <s v="none"/>
    <n v="67.504938667949901"/>
    <n v="70.319375628371503"/>
    <n v="68.966802682461207"/>
    <x v="233"/>
    <s v="Good"/>
    <s v="Pass"/>
  </r>
  <r>
    <x v="1"/>
    <s v="group B"/>
    <s v="master's degree"/>
    <s v="free/reduced"/>
    <s v="none"/>
    <n v="67.507055265186395"/>
    <n v="70.321565815974296"/>
    <n v="68.968974686603502"/>
    <x v="234"/>
    <s v="Good"/>
    <s v="Pass"/>
  </r>
  <r>
    <x v="0"/>
    <s v="group D"/>
    <s v="high school"/>
    <s v="standard"/>
    <s v="none"/>
    <n v="67.509171862422903"/>
    <n v="70.323756003577103"/>
    <n v="68.971146690745698"/>
    <x v="235"/>
    <s v="Good"/>
    <s v="Pass"/>
  </r>
  <r>
    <x v="0"/>
    <s v="group E"/>
    <s v="high school"/>
    <s v="standard"/>
    <s v="completed"/>
    <n v="67.511288459659397"/>
    <n v="70.325946191179895"/>
    <n v="68.973318694887993"/>
    <x v="236"/>
    <s v="Good"/>
    <s v="Pass"/>
  </r>
  <r>
    <x v="1"/>
    <s v="group C"/>
    <s v="master's degree"/>
    <s v="standard"/>
    <s v="none"/>
    <n v="67.513405056895806"/>
    <n v="70.328136378782702"/>
    <n v="68.975490699030303"/>
    <x v="237"/>
    <s v="Good"/>
    <s v="Pass"/>
  </r>
  <r>
    <x v="0"/>
    <s v="group E"/>
    <s v="high school"/>
    <s v="standard"/>
    <s v="none"/>
    <n v="67.5155216541323"/>
    <n v="70.330326566385494"/>
    <n v="68.977662703172598"/>
    <x v="238"/>
    <s v="Good"/>
    <s v="Pass"/>
  </r>
  <r>
    <x v="0"/>
    <s v="group C"/>
    <s v="bachelor's degree"/>
    <s v="standard"/>
    <s v="none"/>
    <n v="67.517638251368794"/>
    <n v="70.332516753988301"/>
    <n v="68.979834707314893"/>
    <x v="239"/>
    <s v="Good"/>
    <s v="Pass"/>
  </r>
  <r>
    <x v="0"/>
    <s v="group C"/>
    <s v="associate's degree"/>
    <s v="free/reduced"/>
    <s v="none"/>
    <n v="67.519754848605203"/>
    <n v="70.334706941591094"/>
    <n v="68.982006711457103"/>
    <x v="240"/>
    <s v="Good"/>
    <s v="Pass"/>
  </r>
  <r>
    <x v="1"/>
    <s v="group E"/>
    <s v="some high school"/>
    <s v="standard"/>
    <s v="completed"/>
    <n v="67.521871445841697"/>
    <n v="70.336897129193801"/>
    <n v="68.984178715599398"/>
    <x v="241"/>
    <s v="Good"/>
    <s v="Pass"/>
  </r>
  <r>
    <x v="1"/>
    <s v="group D"/>
    <s v="high school"/>
    <s v="standard"/>
    <s v="none"/>
    <n v="67.523988043078106"/>
    <n v="70.339087316796594"/>
    <n v="68.986350719741694"/>
    <x v="242"/>
    <s v="Good"/>
    <s v="Pass"/>
  </r>
  <r>
    <x v="0"/>
    <s v="group C"/>
    <s v="associate's degree"/>
    <s v="free/reduced"/>
    <s v="completed"/>
    <n v="67.5261046403146"/>
    <n v="70.3412775043994"/>
    <n v="68.988522723884003"/>
    <x v="243"/>
    <s v="Good"/>
    <s v="Pass"/>
  </r>
  <r>
    <x v="0"/>
    <s v="group D"/>
    <s v="high school"/>
    <s v="standard"/>
    <s v="none"/>
    <n v="67.528221237551094"/>
    <n v="70.343467692002207"/>
    <n v="68.990694728026199"/>
    <x v="244"/>
    <s v="Good"/>
    <s v="Pass"/>
  </r>
  <r>
    <x v="1"/>
    <s v="group C"/>
    <s v="some high school"/>
    <s v="free/reduced"/>
    <s v="none"/>
    <n v="67.530337834787602"/>
    <n v="70.345657879605"/>
    <n v="68.992866732168494"/>
    <x v="245"/>
    <s v="Good"/>
    <s v="Pass"/>
  </r>
  <r>
    <x v="1"/>
    <s v="group C"/>
    <s v="associate's degree"/>
    <s v="standard"/>
    <s v="none"/>
    <n v="67.532454432023997"/>
    <n v="70.347848067207806"/>
    <n v="68.995038736310804"/>
    <x v="246"/>
    <s v="Good"/>
    <s v="Pass"/>
  </r>
  <r>
    <x v="1"/>
    <s v="group C"/>
    <s v="high school"/>
    <s v="free/reduced"/>
    <s v="none"/>
    <n v="67.534571029260505"/>
    <n v="70.350038254810499"/>
    <n v="68.997210740453099"/>
    <x v="247"/>
    <s v="Good"/>
    <s v="Pass"/>
  </r>
  <r>
    <x v="0"/>
    <s v="group D"/>
    <s v="high school"/>
    <s v="free/reduced"/>
    <s v="none"/>
    <n v="67.536687626496999"/>
    <n v="70.352228442413306"/>
    <n v="68.999382744595394"/>
    <x v="248"/>
    <s v="Good"/>
    <s v="Pass"/>
  </r>
  <r>
    <x v="1"/>
    <s v="group C"/>
    <s v="some college"/>
    <s v="standard"/>
    <s v="completed"/>
    <n v="67.538804223733393"/>
    <n v="70.354418630016099"/>
    <n v="69.001554748737604"/>
    <x v="249"/>
    <s v="Good"/>
    <s v="Pass"/>
  </r>
  <r>
    <x v="1"/>
    <s v="group C"/>
    <s v="bachelor's degree"/>
    <s v="standard"/>
    <s v="completed"/>
    <n v="67.540920820969902"/>
    <n v="70.356608817618906"/>
    <n v="69.003726752879899"/>
    <x v="250"/>
    <s v="Good"/>
    <s v="Pass"/>
  </r>
  <r>
    <x v="0"/>
    <s v="group D"/>
    <s v="associate's degree"/>
    <s v="standard"/>
    <s v="completed"/>
    <n v="67.543037418206396"/>
    <n v="70.358799005221698"/>
    <n v="69.005898757022194"/>
    <x v="251"/>
    <s v="Good"/>
    <s v="Pass"/>
  </r>
  <r>
    <x v="1"/>
    <s v="group D"/>
    <s v="some college"/>
    <s v="free/reduced"/>
    <s v="none"/>
    <n v="67.545154015442805"/>
    <n v="70.360989192824505"/>
    <n v="69.008070761164504"/>
    <x v="252"/>
    <s v="Good"/>
    <s v="Pass"/>
  </r>
  <r>
    <x v="0"/>
    <s v="group E"/>
    <s v="some high school"/>
    <s v="standard"/>
    <s v="none"/>
    <n v="67.547270612679299"/>
    <n v="70.363179380427297"/>
    <n v="69.0102427653067"/>
    <x v="253"/>
    <s v="Good"/>
    <s v="Pass"/>
  </r>
  <r>
    <x v="0"/>
    <s v="group D"/>
    <s v="some college"/>
    <s v="free/reduced"/>
    <s v="none"/>
    <n v="67.549387209915807"/>
    <n v="70.365369568030005"/>
    <n v="69.012414769448995"/>
    <x v="254"/>
    <s v="Good"/>
    <s v="Pass"/>
  </r>
  <r>
    <x v="1"/>
    <s v="group E"/>
    <s v="some high school"/>
    <s v="standard"/>
    <s v="none"/>
    <n v="67.551503807152201"/>
    <n v="70.367559755632797"/>
    <n v="69.014586773591304"/>
    <x v="255"/>
    <s v="Good"/>
    <s v="Pass"/>
  </r>
  <r>
    <x v="0"/>
    <s v="group E"/>
    <s v="some high school"/>
    <s v="standard"/>
    <s v="completed"/>
    <n v="67.553620404388695"/>
    <n v="70.369749943235604"/>
    <n v="69.0167587777336"/>
    <x v="256"/>
    <s v="Good"/>
    <s v="Pass"/>
  </r>
  <r>
    <x v="0"/>
    <s v="group A"/>
    <s v="bachelor's degree"/>
    <s v="standard"/>
    <s v="completed"/>
    <n v="67.555737001625204"/>
    <n v="70.371940130838396"/>
    <n v="69.018930781875895"/>
    <x v="257"/>
    <s v="Good"/>
    <s v="Pass"/>
  </r>
  <r>
    <x v="0"/>
    <s v="group D"/>
    <s v="master's degree"/>
    <s v="standard"/>
    <s v="completed"/>
    <n v="67.557853598861598"/>
    <n v="70.374130318441203"/>
    <n v="69.021102786018105"/>
    <x v="258"/>
    <s v="Good"/>
    <s v="Pass"/>
  </r>
  <r>
    <x v="1"/>
    <s v="group C"/>
    <s v="some high school"/>
    <s v="free/reduced"/>
    <s v="completed"/>
    <n v="67.559970196098106"/>
    <n v="70.376320506043996"/>
    <n v="69.0232747901604"/>
    <x v="259"/>
    <s v="Good"/>
    <s v="Pass"/>
  </r>
  <r>
    <x v="0"/>
    <s v="group C"/>
    <s v="high school"/>
    <s v="standard"/>
    <s v="none"/>
    <n v="67.562086793334601"/>
    <n v="70.378510693646803"/>
    <n v="69.025446794302695"/>
    <x v="260"/>
    <s v="Good"/>
    <s v="Pass"/>
  </r>
  <r>
    <x v="1"/>
    <s v="group D"/>
    <s v="some high school"/>
    <s v="free/reduced"/>
    <s v="none"/>
    <n v="67.564203390570995"/>
    <n v="70.380700881249496"/>
    <n v="69.027618798445005"/>
    <x v="261"/>
    <s v="Good"/>
    <s v="Pass"/>
  </r>
  <r>
    <x v="0"/>
    <s v="group B"/>
    <s v="high school"/>
    <s v="standard"/>
    <s v="none"/>
    <n v="67.566319987807503"/>
    <n v="70.382891068852302"/>
    <n v="69.0297908025872"/>
    <x v="262"/>
    <s v="Good"/>
    <s v="Pass"/>
  </r>
  <r>
    <x v="1"/>
    <s v="group C"/>
    <s v="high school"/>
    <s v="standard"/>
    <s v="none"/>
    <n v="67.568436585043997"/>
    <n v="70.385081256455095"/>
    <n v="69.031962806729496"/>
    <x v="263"/>
    <s v="Good"/>
    <s v="Pass"/>
  </r>
  <r>
    <x v="1"/>
    <s v="group C"/>
    <s v="associate's degree"/>
    <s v="standard"/>
    <s v="completed"/>
    <n v="67.570553182280406"/>
    <n v="70.387271444057902"/>
    <n v="69.034134810871805"/>
    <x v="264"/>
    <s v="Good"/>
    <s v="Pass"/>
  </r>
  <r>
    <x v="0"/>
    <s v="group C"/>
    <s v="associate's degree"/>
    <s v="standard"/>
    <s v="none"/>
    <n v="67.5726697795169"/>
    <n v="70.389461631660694"/>
    <n v="69.0363068150141"/>
    <x v="265"/>
    <s v="Good"/>
    <s v="Pass"/>
  </r>
  <r>
    <x v="1"/>
    <s v="group B"/>
    <s v="some college"/>
    <s v="standard"/>
    <s v="none"/>
    <n v="67.574786376753394"/>
    <n v="70.391651819263501"/>
    <n v="69.038478819156396"/>
    <x v="266"/>
    <s v="Good"/>
    <s v="Pass"/>
  </r>
  <r>
    <x v="1"/>
    <s v="group C"/>
    <s v="some high school"/>
    <s v="standard"/>
    <s v="completed"/>
    <n v="67.576902973989803"/>
    <n v="70.393842006866294"/>
    <n v="69.040650823298606"/>
    <x v="267"/>
    <s v="Good"/>
    <s v="Pass"/>
  </r>
  <r>
    <x v="0"/>
    <s v="group B"/>
    <s v="master's degree"/>
    <s v="free/reduced"/>
    <s v="none"/>
    <n v="67.579019571226297"/>
    <n v="70.396032194469001"/>
    <n v="69.042822827440901"/>
    <x v="268"/>
    <s v="Good"/>
    <s v="Pass"/>
  </r>
  <r>
    <x v="1"/>
    <s v="group C"/>
    <s v="high school"/>
    <s v="standard"/>
    <s v="none"/>
    <n v="67.581136168462805"/>
    <n v="70.398222382071793"/>
    <n v="69.044994831583196"/>
    <x v="269"/>
    <s v="Good"/>
    <s v="Pass"/>
  </r>
  <r>
    <x v="1"/>
    <s v="group C"/>
    <s v="some college"/>
    <s v="standard"/>
    <s v="none"/>
    <n v="67.583252765699299"/>
    <n v="70.4004125696746"/>
    <n v="69.047166835725406"/>
    <x v="270"/>
    <s v="Good"/>
    <s v="Pass"/>
  </r>
  <r>
    <x v="1"/>
    <s v="group D"/>
    <s v="high school"/>
    <s v="free/reduced"/>
    <s v="none"/>
    <n v="67.585369362935694"/>
    <n v="70.402602757277407"/>
    <n v="69.049338839867701"/>
    <x v="271"/>
    <s v="Good"/>
    <s v="Pass"/>
  </r>
  <r>
    <x v="0"/>
    <s v="group C"/>
    <s v="associate's degree"/>
    <s v="standard"/>
    <s v="none"/>
    <n v="67.587485960172202"/>
    <n v="70.404792944880199"/>
    <n v="69.051510844009997"/>
    <x v="272"/>
    <s v="Good"/>
    <s v="Pass"/>
  </r>
  <r>
    <x v="0"/>
    <s v="group D"/>
    <s v="some high school"/>
    <s v="standard"/>
    <s v="none"/>
    <n v="67.589602557408696"/>
    <n v="70.406983132483006"/>
    <n v="69.053682848152306"/>
    <x v="273"/>
    <s v="Good"/>
    <s v="Pass"/>
  </r>
  <r>
    <x v="1"/>
    <s v="group B"/>
    <s v="bachelor's degree"/>
    <s v="standard"/>
    <s v="none"/>
    <n v="67.591719154645105"/>
    <n v="70.409173320085699"/>
    <n v="69.055854852294601"/>
    <x v="274"/>
    <s v="Good"/>
    <s v="Pass"/>
  </r>
  <r>
    <x v="1"/>
    <s v="group D"/>
    <s v="some high school"/>
    <s v="free/reduced"/>
    <s v="none"/>
    <n v="67.593835751881599"/>
    <n v="70.411363507688506"/>
    <n v="69.058026856436797"/>
    <x v="275"/>
    <s v="Good"/>
    <s v="Pass"/>
  </r>
  <r>
    <x v="1"/>
    <s v="group C"/>
    <s v="associate's degree"/>
    <s v="free/reduced"/>
    <s v="none"/>
    <n v="67.595952349118093"/>
    <n v="70.413553695291299"/>
    <n v="69.060198860579106"/>
    <x v="276"/>
    <s v="Good"/>
    <s v="Pass"/>
  </r>
  <r>
    <x v="0"/>
    <s v="group B"/>
    <s v="high school"/>
    <s v="standard"/>
    <s v="completed"/>
    <n v="67.598068946354502"/>
    <n v="70.415743882894105"/>
    <n v="69.062370864721402"/>
    <x v="277"/>
    <s v="Good"/>
    <s v="Pass"/>
  </r>
  <r>
    <x v="1"/>
    <s v="group B"/>
    <s v="associate's degree"/>
    <s v="free/reduced"/>
    <s v="none"/>
    <n v="67.600185543590996"/>
    <n v="70.417934070496898"/>
    <n v="69.064542868863697"/>
    <x v="278"/>
    <s v="Good"/>
    <s v="Pas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male"/>
    <s v="group A"/>
    <x v="0"/>
    <s v="standard"/>
    <x v="0"/>
    <n v="67"/>
    <n v="67"/>
    <n v="63"/>
    <n v="65.666666666666671"/>
    <x v="0"/>
    <x v="0"/>
  </r>
  <r>
    <s v="female"/>
    <s v="group D"/>
    <x v="1"/>
    <s v="free/reduced"/>
    <x v="1"/>
    <n v="40"/>
    <n v="59"/>
    <n v="55"/>
    <n v="51.333333333333336"/>
    <x v="1"/>
    <x v="0"/>
  </r>
  <r>
    <s v="male"/>
    <s v="group E"/>
    <x v="2"/>
    <s v="free/reduced"/>
    <x v="1"/>
    <n v="59"/>
    <n v="60"/>
    <n v="50"/>
    <n v="56.333333333333336"/>
    <x v="1"/>
    <x v="0"/>
  </r>
  <r>
    <s v="male"/>
    <s v="group B"/>
    <x v="0"/>
    <s v="standard"/>
    <x v="1"/>
    <n v="77"/>
    <n v="78"/>
    <n v="68"/>
    <n v="74.333333333333329"/>
    <x v="0"/>
    <x v="0"/>
  </r>
  <r>
    <s v="male"/>
    <s v="group E"/>
    <x v="3"/>
    <s v="standard"/>
    <x v="0"/>
    <n v="78"/>
    <n v="73"/>
    <n v="68"/>
    <n v="73"/>
    <x v="0"/>
    <x v="0"/>
  </r>
  <r>
    <s v="female"/>
    <s v="group D"/>
    <x v="0"/>
    <s v="standard"/>
    <x v="1"/>
    <n v="63"/>
    <n v="77"/>
    <n v="76"/>
    <n v="72"/>
    <x v="0"/>
    <x v="0"/>
  </r>
  <r>
    <s v="female"/>
    <s v="group A"/>
    <x v="4"/>
    <s v="standard"/>
    <x v="1"/>
    <n v="62"/>
    <n v="59"/>
    <n v="63"/>
    <n v="61.333333333333336"/>
    <x v="0"/>
    <x v="0"/>
  </r>
  <r>
    <s v="male"/>
    <s v="group E"/>
    <x v="2"/>
    <s v="standard"/>
    <x v="0"/>
    <n v="93"/>
    <n v="88"/>
    <n v="84"/>
    <n v="88.333333333333329"/>
    <x v="2"/>
    <x v="0"/>
  </r>
  <r>
    <s v="male"/>
    <s v="group D"/>
    <x v="0"/>
    <s v="standard"/>
    <x v="1"/>
    <n v="63"/>
    <n v="56"/>
    <n v="65"/>
    <n v="61.333333333333336"/>
    <x v="0"/>
    <x v="0"/>
  </r>
  <r>
    <s v="male"/>
    <s v="group C"/>
    <x v="2"/>
    <s v="free/reduced"/>
    <x v="1"/>
    <n v="47"/>
    <n v="42"/>
    <n v="45"/>
    <n v="44.666666666666664"/>
    <x v="1"/>
    <x v="0"/>
  </r>
  <r>
    <s v="male"/>
    <s v="group E"/>
    <x v="2"/>
    <s v="standard"/>
    <x v="0"/>
    <n v="99"/>
    <n v="83"/>
    <n v="85"/>
    <n v="89"/>
    <x v="2"/>
    <x v="0"/>
  </r>
  <r>
    <s v="female"/>
    <s v="group D"/>
    <x v="0"/>
    <s v="standard"/>
    <x v="0"/>
    <n v="80"/>
    <n v="87"/>
    <n v="90"/>
    <n v="85.666666666666671"/>
    <x v="2"/>
    <x v="0"/>
  </r>
  <r>
    <s v="male"/>
    <s v="group D"/>
    <x v="3"/>
    <s v="standard"/>
    <x v="0"/>
    <n v="77"/>
    <n v="87"/>
    <n v="85"/>
    <n v="83"/>
    <x v="2"/>
    <x v="0"/>
  </r>
  <r>
    <s v="male"/>
    <s v="group C"/>
    <x v="0"/>
    <s v="standard"/>
    <x v="0"/>
    <n v="74"/>
    <n v="74"/>
    <n v="73"/>
    <n v="73.666666666666671"/>
    <x v="0"/>
    <x v="0"/>
  </r>
  <r>
    <s v="male"/>
    <s v="group E"/>
    <x v="1"/>
    <s v="standard"/>
    <x v="0"/>
    <n v="81"/>
    <n v="87"/>
    <n v="85"/>
    <n v="84.333333333333329"/>
    <x v="2"/>
    <x v="0"/>
  </r>
  <r>
    <s v="male"/>
    <s v="group E"/>
    <x v="3"/>
    <s v="free/reduced"/>
    <x v="1"/>
    <n v="69"/>
    <n v="61"/>
    <n v="57"/>
    <n v="62.333333333333336"/>
    <x v="0"/>
    <x v="0"/>
  </r>
  <r>
    <s v="male"/>
    <s v="group B"/>
    <x v="0"/>
    <s v="standard"/>
    <x v="1"/>
    <n v="58"/>
    <n v="47"/>
    <n v="42"/>
    <n v="49"/>
    <x v="1"/>
    <x v="0"/>
  </r>
  <r>
    <s v="female"/>
    <s v="group C"/>
    <x v="3"/>
    <s v="standard"/>
    <x v="0"/>
    <n v="54"/>
    <n v="62"/>
    <n v="65"/>
    <n v="60.333333333333336"/>
    <x v="0"/>
    <x v="0"/>
  </r>
  <r>
    <s v="female"/>
    <s v="group C"/>
    <x v="3"/>
    <s v="free/reduced"/>
    <x v="1"/>
    <n v="23"/>
    <n v="44"/>
    <n v="44"/>
    <n v="37"/>
    <x v="3"/>
    <x v="1"/>
  </r>
  <r>
    <s v="male"/>
    <s v="group C"/>
    <x v="2"/>
    <s v="free/reduced"/>
    <x v="1"/>
    <n v="39"/>
    <n v="32"/>
    <n v="31"/>
    <n v="34"/>
    <x v="3"/>
    <x v="1"/>
  </r>
  <r>
    <s v="female"/>
    <s v="group C"/>
    <x v="3"/>
    <s v="standard"/>
    <x v="1"/>
    <n v="83"/>
    <n v="76"/>
    <n v="88"/>
    <n v="82.333333333333329"/>
    <x v="2"/>
    <x v="0"/>
  </r>
  <r>
    <s v="male"/>
    <s v="group C"/>
    <x v="3"/>
    <s v="standard"/>
    <x v="1"/>
    <n v="58"/>
    <n v="52"/>
    <n v="55"/>
    <n v="55"/>
    <x v="1"/>
    <x v="0"/>
  </r>
  <r>
    <s v="male"/>
    <s v="group B"/>
    <x v="2"/>
    <s v="standard"/>
    <x v="0"/>
    <n v="71"/>
    <n v="69"/>
    <n v="73"/>
    <n v="71"/>
    <x v="0"/>
    <x v="0"/>
  </r>
  <r>
    <s v="female"/>
    <s v="group B"/>
    <x v="2"/>
    <s v="free/reduced"/>
    <x v="1"/>
    <n v="44"/>
    <n v="55"/>
    <n v="54"/>
    <n v="51"/>
    <x v="1"/>
    <x v="0"/>
  </r>
  <r>
    <s v="male"/>
    <s v="group E"/>
    <x v="1"/>
    <s v="free/reduced"/>
    <x v="1"/>
    <n v="46"/>
    <n v="38"/>
    <n v="32"/>
    <n v="38.666666666666664"/>
    <x v="3"/>
    <x v="1"/>
  </r>
  <r>
    <s v="male"/>
    <s v="group C"/>
    <x v="0"/>
    <s v="free/reduced"/>
    <x v="1"/>
    <n v="51"/>
    <n v="45"/>
    <n v="42"/>
    <n v="46"/>
    <x v="1"/>
    <x v="0"/>
  </r>
  <r>
    <s v="female"/>
    <s v="group C"/>
    <x v="1"/>
    <s v="standard"/>
    <x v="1"/>
    <n v="53"/>
    <n v="60"/>
    <n v="56"/>
    <n v="56.333333333333336"/>
    <x v="1"/>
    <x v="0"/>
  </r>
  <r>
    <s v="male"/>
    <s v="group E"/>
    <x v="0"/>
    <s v="standard"/>
    <x v="1"/>
    <n v="71"/>
    <n v="68"/>
    <n v="60"/>
    <n v="66.333333333333329"/>
    <x v="0"/>
    <x v="0"/>
  </r>
  <r>
    <s v="female"/>
    <s v="group B"/>
    <x v="0"/>
    <s v="standard"/>
    <x v="0"/>
    <n v="74"/>
    <n v="89"/>
    <n v="89"/>
    <n v="84"/>
    <x v="2"/>
    <x v="0"/>
  </r>
  <r>
    <s v="female"/>
    <s v="group A"/>
    <x v="1"/>
    <s v="free/reduced"/>
    <x v="1"/>
    <n v="33"/>
    <n v="54"/>
    <n v="51"/>
    <n v="46"/>
    <x v="1"/>
    <x v="0"/>
  </r>
  <r>
    <s v="male"/>
    <s v="group B"/>
    <x v="2"/>
    <s v="standard"/>
    <x v="1"/>
    <n v="87"/>
    <n v="79"/>
    <n v="77"/>
    <n v="81"/>
    <x v="2"/>
    <x v="0"/>
  </r>
  <r>
    <s v="male"/>
    <s v="group A"/>
    <x v="4"/>
    <s v="free/reduced"/>
    <x v="1"/>
    <n v="78"/>
    <n v="74"/>
    <n v="73"/>
    <n v="75"/>
    <x v="0"/>
    <x v="0"/>
  </r>
  <r>
    <s v="male"/>
    <s v="group A"/>
    <x v="1"/>
    <s v="free/reduced"/>
    <x v="0"/>
    <n v="40"/>
    <n v="41"/>
    <n v="39"/>
    <n v="40"/>
    <x v="1"/>
    <x v="0"/>
  </r>
  <r>
    <s v="female"/>
    <s v="group B"/>
    <x v="3"/>
    <s v="standard"/>
    <x v="0"/>
    <n v="65"/>
    <n v="65"/>
    <n v="71"/>
    <n v="67"/>
    <x v="0"/>
    <x v="0"/>
  </r>
  <r>
    <s v="female"/>
    <s v="group B"/>
    <x v="4"/>
    <s v="standard"/>
    <x v="0"/>
    <n v="79"/>
    <n v="88"/>
    <n v="89"/>
    <n v="85.333333333333329"/>
    <x v="2"/>
    <x v="0"/>
  </r>
  <r>
    <s v="female"/>
    <s v="group A"/>
    <x v="4"/>
    <s v="standard"/>
    <x v="1"/>
    <n v="68"/>
    <n v="74"/>
    <n v="74"/>
    <n v="72"/>
    <x v="0"/>
    <x v="0"/>
  </r>
  <r>
    <s v="female"/>
    <s v="group C"/>
    <x v="2"/>
    <s v="standard"/>
    <x v="0"/>
    <n v="57"/>
    <n v="77"/>
    <n v="75"/>
    <n v="69.666666666666671"/>
    <x v="0"/>
    <x v="0"/>
  </r>
  <r>
    <s v="male"/>
    <s v="group B"/>
    <x v="0"/>
    <s v="free/reduced"/>
    <x v="1"/>
    <n v="67"/>
    <n v="65"/>
    <n v="54"/>
    <n v="62"/>
    <x v="0"/>
    <x v="0"/>
  </r>
  <r>
    <s v="female"/>
    <s v="group B"/>
    <x v="2"/>
    <s v="free/reduced"/>
    <x v="0"/>
    <n v="58"/>
    <n v="68"/>
    <n v="73"/>
    <n v="66.333333333333329"/>
    <x v="0"/>
    <x v="0"/>
  </r>
  <r>
    <s v="male"/>
    <s v="group E"/>
    <x v="3"/>
    <s v="standard"/>
    <x v="1"/>
    <n v="98"/>
    <n v="81"/>
    <n v="77"/>
    <n v="85.333333333333329"/>
    <x v="2"/>
    <x v="0"/>
  </r>
  <r>
    <s v="female"/>
    <s v="group B"/>
    <x v="5"/>
    <s v="free/reduced"/>
    <x v="1"/>
    <n v="54"/>
    <n v="75"/>
    <n v="72"/>
    <n v="67"/>
    <x v="0"/>
    <x v="0"/>
  </r>
  <r>
    <s v="male"/>
    <s v="group D"/>
    <x v="0"/>
    <s v="standard"/>
    <x v="1"/>
    <n v="77"/>
    <n v="67"/>
    <n v="64"/>
    <n v="69.333333333333329"/>
    <x v="0"/>
    <x v="0"/>
  </r>
  <r>
    <s v="male"/>
    <s v="group E"/>
    <x v="0"/>
    <s v="standard"/>
    <x v="0"/>
    <n v="87"/>
    <n v="79"/>
    <n v="82"/>
    <n v="82.666666666666671"/>
    <x v="2"/>
    <x v="0"/>
  </r>
  <r>
    <s v="female"/>
    <s v="group C"/>
    <x v="5"/>
    <s v="standard"/>
    <x v="1"/>
    <n v="58"/>
    <n v="70"/>
    <n v="70"/>
    <n v="66"/>
    <x v="0"/>
    <x v="0"/>
  </r>
  <r>
    <s v="male"/>
    <s v="group E"/>
    <x v="0"/>
    <s v="standard"/>
    <x v="1"/>
    <n v="100"/>
    <n v="88"/>
    <n v="87"/>
    <n v="91.666666666666671"/>
    <x v="2"/>
    <x v="0"/>
  </r>
  <r>
    <s v="male"/>
    <s v="group C"/>
    <x v="4"/>
    <s v="standard"/>
    <x v="1"/>
    <n v="60"/>
    <n v="46"/>
    <n v="51"/>
    <n v="52.333333333333336"/>
    <x v="1"/>
    <x v="0"/>
  </r>
  <r>
    <s v="male"/>
    <s v="group C"/>
    <x v="3"/>
    <s v="free/reduced"/>
    <x v="1"/>
    <n v="64"/>
    <n v="63"/>
    <n v="57"/>
    <n v="61.333333333333336"/>
    <x v="0"/>
    <x v="0"/>
  </r>
  <r>
    <s v="female"/>
    <s v="group E"/>
    <x v="1"/>
    <s v="standard"/>
    <x v="0"/>
    <n v="65"/>
    <n v="76"/>
    <n v="78"/>
    <n v="73"/>
    <x v="0"/>
    <x v="0"/>
  </r>
  <r>
    <s v="female"/>
    <s v="group D"/>
    <x v="0"/>
    <s v="standard"/>
    <x v="1"/>
    <n v="68"/>
    <n v="72"/>
    <n v="73"/>
    <n v="71"/>
    <x v="0"/>
    <x v="0"/>
  </r>
  <r>
    <s v="male"/>
    <s v="group C"/>
    <x v="3"/>
    <s v="free/reduced"/>
    <x v="0"/>
    <n v="60"/>
    <n v="63"/>
    <n v="57"/>
    <n v="60"/>
    <x v="0"/>
    <x v="0"/>
  </r>
  <r>
    <s v="male"/>
    <s v="group D"/>
    <x v="0"/>
    <s v="standard"/>
    <x v="1"/>
    <n v="65"/>
    <n v="68"/>
    <n v="64"/>
    <n v="65.666666666666671"/>
    <x v="0"/>
    <x v="0"/>
  </r>
  <r>
    <s v="female"/>
    <s v="group C"/>
    <x v="1"/>
    <s v="free/reduced"/>
    <x v="1"/>
    <n v="52"/>
    <n v="58"/>
    <n v="60"/>
    <n v="56.666666666666664"/>
    <x v="1"/>
    <x v="0"/>
  </r>
  <r>
    <s v="female"/>
    <s v="group C"/>
    <x v="3"/>
    <s v="standard"/>
    <x v="1"/>
    <n v="74"/>
    <n v="81"/>
    <n v="85"/>
    <n v="80"/>
    <x v="2"/>
    <x v="0"/>
  </r>
  <r>
    <s v="female"/>
    <s v="group C"/>
    <x v="0"/>
    <s v="free/reduced"/>
    <x v="1"/>
    <n v="36"/>
    <n v="53"/>
    <n v="49"/>
    <n v="46"/>
    <x v="1"/>
    <x v="0"/>
  </r>
  <r>
    <s v="male"/>
    <s v="group D"/>
    <x v="0"/>
    <s v="free/reduced"/>
    <x v="1"/>
    <n v="57"/>
    <n v="57"/>
    <n v="47"/>
    <n v="53.666666666666664"/>
    <x v="1"/>
    <x v="0"/>
  </r>
  <r>
    <s v="female"/>
    <s v="group C"/>
    <x v="2"/>
    <s v="standard"/>
    <x v="0"/>
    <n v="56"/>
    <n v="60"/>
    <n v="62"/>
    <n v="59.333333333333336"/>
    <x v="1"/>
    <x v="0"/>
  </r>
  <r>
    <s v="female"/>
    <s v="group C"/>
    <x v="4"/>
    <s v="standard"/>
    <x v="0"/>
    <n v="67"/>
    <n v="80"/>
    <n v="84"/>
    <n v="77"/>
    <x v="0"/>
    <x v="0"/>
  </r>
  <r>
    <s v="male"/>
    <s v="group D"/>
    <x v="3"/>
    <s v="standard"/>
    <x v="0"/>
    <n v="88"/>
    <n v="87"/>
    <n v="83"/>
    <n v="86"/>
    <x v="2"/>
    <x v="0"/>
  </r>
  <r>
    <s v="female"/>
    <s v="group D"/>
    <x v="2"/>
    <s v="free/reduced"/>
    <x v="1"/>
    <n v="42"/>
    <n v="61"/>
    <n v="51"/>
    <n v="51.333333333333336"/>
    <x v="1"/>
    <x v="0"/>
  </r>
  <r>
    <s v="male"/>
    <s v="group E"/>
    <x v="1"/>
    <s v="standard"/>
    <x v="1"/>
    <n v="68"/>
    <n v="51"/>
    <n v="48"/>
    <n v="55.666666666666664"/>
    <x v="1"/>
    <x v="0"/>
  </r>
  <r>
    <s v="male"/>
    <s v="group D"/>
    <x v="2"/>
    <s v="free/reduced"/>
    <x v="1"/>
    <n v="76"/>
    <n v="66"/>
    <n v="68"/>
    <n v="70"/>
    <x v="0"/>
    <x v="0"/>
  </r>
  <r>
    <s v="female"/>
    <s v="group E"/>
    <x v="1"/>
    <s v="standard"/>
    <x v="1"/>
    <n v="58"/>
    <n v="63"/>
    <n v="59"/>
    <n v="60"/>
    <x v="0"/>
    <x v="0"/>
  </r>
  <r>
    <s v="male"/>
    <s v="group E"/>
    <x v="1"/>
    <s v="standard"/>
    <x v="0"/>
    <n v="69"/>
    <n v="67"/>
    <n v="62"/>
    <n v="66"/>
    <x v="0"/>
    <x v="0"/>
  </r>
  <r>
    <s v="male"/>
    <s v="group A"/>
    <x v="4"/>
    <s v="standard"/>
    <x v="0"/>
    <n v="77"/>
    <n v="82"/>
    <n v="78"/>
    <n v="79"/>
    <x v="0"/>
    <x v="0"/>
  </r>
  <r>
    <s v="male"/>
    <s v="group D"/>
    <x v="5"/>
    <s v="standard"/>
    <x v="0"/>
    <n v="83"/>
    <n v="93"/>
    <n v="97"/>
    <n v="91"/>
    <x v="2"/>
    <x v="0"/>
  </r>
  <r>
    <s v="female"/>
    <s v="group C"/>
    <x v="1"/>
    <s v="free/reduced"/>
    <x v="0"/>
    <n v="49"/>
    <n v="74"/>
    <n v="70"/>
    <n v="64.333333333333329"/>
    <x v="0"/>
    <x v="0"/>
  </r>
  <r>
    <s v="male"/>
    <s v="group C"/>
    <x v="0"/>
    <s v="standard"/>
    <x v="1"/>
    <n v="71"/>
    <n v="60"/>
    <n v="56"/>
    <n v="62.333333333333336"/>
    <x v="0"/>
    <x v="0"/>
  </r>
  <r>
    <s v="female"/>
    <s v="group D"/>
    <x v="1"/>
    <s v="free/reduced"/>
    <x v="1"/>
    <n v="47"/>
    <n v="46"/>
    <n v="49"/>
    <n v="47.333333333333336"/>
    <x v="1"/>
    <x v="0"/>
  </r>
  <r>
    <s v="male"/>
    <s v="group B"/>
    <x v="0"/>
    <s v="standard"/>
    <x v="1"/>
    <n v="79"/>
    <n v="64"/>
    <n v="60"/>
    <n v="67.666666666666671"/>
    <x v="0"/>
    <x v="0"/>
  </r>
  <r>
    <s v="female"/>
    <s v="group C"/>
    <x v="0"/>
    <s v="standard"/>
    <x v="1"/>
    <n v="60"/>
    <n v="64"/>
    <n v="57"/>
    <n v="60.333333333333336"/>
    <x v="0"/>
    <x v="0"/>
  </r>
  <r>
    <s v="female"/>
    <s v="group C"/>
    <x v="3"/>
    <s v="standard"/>
    <x v="0"/>
    <n v="56"/>
    <n v="68"/>
    <n v="73"/>
    <n v="65.666666666666671"/>
    <x v="0"/>
    <x v="0"/>
  </r>
  <r>
    <s v="male"/>
    <s v="group C"/>
    <x v="3"/>
    <s v="standard"/>
    <x v="1"/>
    <n v="57"/>
    <n v="52"/>
    <n v="47"/>
    <n v="52"/>
    <x v="1"/>
    <x v="0"/>
  </r>
  <r>
    <s v="female"/>
    <s v="group B"/>
    <x v="2"/>
    <s v="standard"/>
    <x v="1"/>
    <n v="49"/>
    <n v="70"/>
    <n v="63"/>
    <n v="60.666666666666664"/>
    <x v="0"/>
    <x v="0"/>
  </r>
  <r>
    <s v="female"/>
    <s v="group C"/>
    <x v="1"/>
    <s v="standard"/>
    <x v="0"/>
    <n v="79"/>
    <n v="76"/>
    <n v="81"/>
    <n v="78.666666666666671"/>
    <x v="0"/>
    <x v="0"/>
  </r>
  <r>
    <s v="male"/>
    <s v="group B"/>
    <x v="5"/>
    <s v="free/reduced"/>
    <x v="1"/>
    <n v="71"/>
    <n v="76"/>
    <n v="67"/>
    <n v="71.333333333333329"/>
    <x v="0"/>
    <x v="0"/>
  </r>
  <r>
    <s v="female"/>
    <s v="group C"/>
    <x v="0"/>
    <s v="standard"/>
    <x v="1"/>
    <n v="71"/>
    <n v="77"/>
    <n v="70"/>
    <n v="72.666666666666671"/>
    <x v="0"/>
    <x v="0"/>
  </r>
  <r>
    <s v="female"/>
    <s v="group C"/>
    <x v="2"/>
    <s v="standard"/>
    <x v="1"/>
    <n v="47"/>
    <n v="63"/>
    <n v="59"/>
    <n v="56.333333333333336"/>
    <x v="1"/>
    <x v="0"/>
  </r>
  <r>
    <s v="female"/>
    <s v="group D"/>
    <x v="0"/>
    <s v="free/reduced"/>
    <x v="1"/>
    <n v="72"/>
    <n v="91"/>
    <n v="81"/>
    <n v="81.333333333333329"/>
    <x v="2"/>
    <x v="0"/>
  </r>
  <r>
    <s v="male"/>
    <s v="group C"/>
    <x v="3"/>
    <s v="standard"/>
    <x v="1"/>
    <n v="78"/>
    <n v="73"/>
    <n v="76"/>
    <n v="75.666666666666671"/>
    <x v="0"/>
    <x v="0"/>
  </r>
  <r>
    <s v="male"/>
    <s v="group D"/>
    <x v="1"/>
    <s v="standard"/>
    <x v="1"/>
    <n v="54"/>
    <n v="43"/>
    <n v="45"/>
    <n v="47.333333333333336"/>
    <x v="1"/>
    <x v="0"/>
  </r>
  <r>
    <s v="female"/>
    <s v="group B"/>
    <x v="4"/>
    <s v="standard"/>
    <x v="1"/>
    <n v="46"/>
    <n v="59"/>
    <n v="62"/>
    <n v="55.666666666666664"/>
    <x v="1"/>
    <x v="0"/>
  </r>
  <r>
    <s v="female"/>
    <s v="group D"/>
    <x v="1"/>
    <s v="free/reduced"/>
    <x v="1"/>
    <n v="31"/>
    <n v="38"/>
    <n v="42"/>
    <n v="37"/>
    <x v="3"/>
    <x v="1"/>
  </r>
  <r>
    <s v="female"/>
    <s v="group C"/>
    <x v="3"/>
    <s v="free/reduced"/>
    <x v="1"/>
    <n v="51"/>
    <n v="59"/>
    <n v="59"/>
    <n v="56.333333333333336"/>
    <x v="1"/>
    <x v="0"/>
  </r>
  <r>
    <s v="male"/>
    <s v="group B"/>
    <x v="0"/>
    <s v="standard"/>
    <x v="0"/>
    <n v="78"/>
    <n v="76"/>
    <n v="73"/>
    <n v="75.666666666666671"/>
    <x v="0"/>
    <x v="0"/>
  </r>
  <r>
    <s v="female"/>
    <s v="group B"/>
    <x v="3"/>
    <s v="free/reduced"/>
    <x v="1"/>
    <n v="32"/>
    <n v="41"/>
    <n v="39"/>
    <n v="37.333333333333336"/>
    <x v="3"/>
    <x v="1"/>
  </r>
  <r>
    <s v="female"/>
    <s v="group C"/>
    <x v="1"/>
    <s v="standard"/>
    <x v="1"/>
    <n v="53"/>
    <n v="71"/>
    <n v="69"/>
    <n v="64.333333333333329"/>
    <x v="0"/>
    <x v="0"/>
  </r>
  <r>
    <s v="female"/>
    <s v="group C"/>
    <x v="2"/>
    <s v="free/reduced"/>
    <x v="1"/>
    <n v="63"/>
    <n v="76"/>
    <n v="69"/>
    <n v="69.333333333333329"/>
    <x v="0"/>
    <x v="0"/>
  </r>
  <r>
    <s v="male"/>
    <s v="group D"/>
    <x v="2"/>
    <s v="standard"/>
    <x v="1"/>
    <n v="97"/>
    <n v="93"/>
    <n v="88"/>
    <n v="92.666666666666671"/>
    <x v="2"/>
    <x v="0"/>
  </r>
  <r>
    <s v="female"/>
    <s v="group D"/>
    <x v="2"/>
    <s v="standard"/>
    <x v="1"/>
    <n v="56"/>
    <n v="52"/>
    <n v="61"/>
    <n v="56.333333333333336"/>
    <x v="1"/>
    <x v="0"/>
  </r>
  <r>
    <s v="male"/>
    <s v="group B"/>
    <x v="0"/>
    <s v="standard"/>
    <x v="1"/>
    <n v="72"/>
    <n v="76"/>
    <n v="72"/>
    <n v="73.333333333333329"/>
    <x v="0"/>
    <x v="0"/>
  </r>
  <r>
    <s v="male"/>
    <s v="group C"/>
    <x v="2"/>
    <s v="free/reduced"/>
    <x v="1"/>
    <n v="57"/>
    <n v="47"/>
    <n v="42"/>
    <n v="48.666666666666664"/>
    <x v="1"/>
    <x v="0"/>
  </r>
  <r>
    <s v="male"/>
    <s v="group B"/>
    <x v="1"/>
    <s v="standard"/>
    <x v="1"/>
    <n v="74"/>
    <n v="71"/>
    <n v="70"/>
    <n v="71.666666666666671"/>
    <x v="0"/>
    <x v="0"/>
  </r>
  <r>
    <s v="female"/>
    <s v="group D"/>
    <x v="5"/>
    <s v="standard"/>
    <x v="1"/>
    <n v="81"/>
    <n v="81"/>
    <n v="87"/>
    <n v="83"/>
    <x v="2"/>
    <x v="0"/>
  </r>
  <r>
    <s v="male"/>
    <s v="group D"/>
    <x v="4"/>
    <s v="standard"/>
    <x v="0"/>
    <n v="94"/>
    <n v="87"/>
    <n v="93"/>
    <n v="91.333333333333329"/>
    <x v="2"/>
    <x v="0"/>
  </r>
  <r>
    <s v="male"/>
    <s v="group B"/>
    <x v="5"/>
    <s v="free/reduced"/>
    <x v="1"/>
    <n v="81"/>
    <n v="73"/>
    <n v="72"/>
    <n v="75.333333333333329"/>
    <x v="0"/>
    <x v="0"/>
  </r>
  <r>
    <s v="female"/>
    <s v="group C"/>
    <x v="0"/>
    <s v="standard"/>
    <x v="0"/>
    <n v="58"/>
    <n v="63"/>
    <n v="67"/>
    <n v="62.666666666666664"/>
    <x v="0"/>
    <x v="0"/>
  </r>
  <r>
    <s v="female"/>
    <s v="group E"/>
    <x v="3"/>
    <s v="standard"/>
    <x v="0"/>
    <n v="95"/>
    <n v="100"/>
    <n v="100"/>
    <n v="98.333333333333329"/>
    <x v="2"/>
    <x v="0"/>
  </r>
  <r>
    <s v="male"/>
    <s v="group B"/>
    <x v="0"/>
    <s v="free/reduced"/>
    <x v="1"/>
    <n v="45"/>
    <n v="52"/>
    <n v="49"/>
    <n v="48.666666666666664"/>
    <x v="1"/>
    <x v="0"/>
  </r>
  <r>
    <s v="male"/>
    <s v="group A"/>
    <x v="2"/>
    <s v="standard"/>
    <x v="1"/>
    <n v="63"/>
    <n v="50"/>
    <n v="49"/>
    <n v="54"/>
    <x v="1"/>
    <x v="0"/>
  </r>
  <r>
    <s v="male"/>
    <s v="group B"/>
    <x v="3"/>
    <s v="standard"/>
    <x v="1"/>
    <n v="60"/>
    <n v="54"/>
    <n v="53"/>
    <n v="55.666666666666664"/>
    <x v="1"/>
    <x v="0"/>
  </r>
  <r>
    <s v="male"/>
    <s v="group C"/>
    <x v="2"/>
    <s v="free/reduced"/>
    <x v="0"/>
    <n v="54"/>
    <n v="61"/>
    <n v="62"/>
    <n v="59"/>
    <x v="1"/>
    <x v="0"/>
  </r>
  <r>
    <s v="male"/>
    <s v="group C"/>
    <x v="2"/>
    <s v="standard"/>
    <x v="0"/>
    <n v="75"/>
    <n v="78"/>
    <n v="79"/>
    <n v="77.333333333333329"/>
    <x v="0"/>
    <x v="0"/>
  </r>
  <r>
    <s v="male"/>
    <s v="group E"/>
    <x v="0"/>
    <s v="standard"/>
    <x v="1"/>
    <n v="79"/>
    <n v="78"/>
    <n v="77"/>
    <n v="78"/>
    <x v="0"/>
    <x v="0"/>
  </r>
  <r>
    <s v="male"/>
    <s v="group D"/>
    <x v="0"/>
    <s v="standard"/>
    <x v="1"/>
    <n v="66"/>
    <n v="67"/>
    <n v="67"/>
    <n v="66.666666666666671"/>
    <x v="0"/>
    <x v="0"/>
  </r>
  <r>
    <s v="female"/>
    <s v="group B"/>
    <x v="2"/>
    <s v="standard"/>
    <x v="1"/>
    <n v="47"/>
    <n v="58"/>
    <n v="58"/>
    <n v="54.333333333333336"/>
    <x v="1"/>
    <x v="0"/>
  </r>
  <r>
    <s v="female"/>
    <s v="group D"/>
    <x v="4"/>
    <s v="standard"/>
    <x v="1"/>
    <n v="70"/>
    <n v="78"/>
    <n v="82"/>
    <n v="76.666666666666671"/>
    <x v="0"/>
    <x v="0"/>
  </r>
  <r>
    <s v="male"/>
    <s v="group D"/>
    <x v="0"/>
    <s v="standard"/>
    <x v="1"/>
    <n v="82"/>
    <n v="74"/>
    <n v="73"/>
    <n v="76.333333333333329"/>
    <x v="0"/>
    <x v="0"/>
  </r>
  <r>
    <s v="male"/>
    <s v="group A"/>
    <x v="4"/>
    <s v="standard"/>
    <x v="1"/>
    <n v="56"/>
    <n v="38"/>
    <n v="44"/>
    <n v="46"/>
    <x v="1"/>
    <x v="0"/>
  </r>
  <r>
    <s v="male"/>
    <s v="group B"/>
    <x v="3"/>
    <s v="standard"/>
    <x v="1"/>
    <n v="92"/>
    <n v="78"/>
    <n v="71"/>
    <n v="80.333333333333329"/>
    <x v="2"/>
    <x v="0"/>
  </r>
  <r>
    <s v="male"/>
    <s v="group C"/>
    <x v="2"/>
    <s v="free/reduced"/>
    <x v="1"/>
    <n v="30"/>
    <n v="33"/>
    <n v="33"/>
    <n v="32"/>
    <x v="3"/>
    <x v="1"/>
  </r>
  <r>
    <s v="female"/>
    <s v="group C"/>
    <x v="2"/>
    <s v="standard"/>
    <x v="0"/>
    <n v="79"/>
    <n v="88"/>
    <n v="86"/>
    <n v="84.333333333333329"/>
    <x v="2"/>
    <x v="0"/>
  </r>
  <r>
    <s v="female"/>
    <s v="group D"/>
    <x v="1"/>
    <s v="standard"/>
    <x v="1"/>
    <n v="41"/>
    <n v="52"/>
    <n v="47"/>
    <n v="46.666666666666664"/>
    <x v="1"/>
    <x v="0"/>
  </r>
  <r>
    <s v="female"/>
    <s v="group C"/>
    <x v="5"/>
    <s v="standard"/>
    <x v="1"/>
    <n v="63"/>
    <n v="82"/>
    <n v="71"/>
    <n v="72"/>
    <x v="0"/>
    <x v="0"/>
  </r>
  <r>
    <s v="male"/>
    <s v="group A"/>
    <x v="4"/>
    <s v="free/reduced"/>
    <x v="1"/>
    <n v="43"/>
    <n v="34"/>
    <n v="33"/>
    <n v="36.666666666666664"/>
    <x v="3"/>
    <x v="1"/>
  </r>
  <r>
    <s v="male"/>
    <s v="group D"/>
    <x v="0"/>
    <s v="standard"/>
    <x v="1"/>
    <n v="77"/>
    <n v="76"/>
    <n v="74"/>
    <n v="75.666666666666671"/>
    <x v="0"/>
    <x v="0"/>
  </r>
  <r>
    <s v="male"/>
    <s v="group B"/>
    <x v="3"/>
    <s v="standard"/>
    <x v="0"/>
    <n v="76"/>
    <n v="79"/>
    <n v="76"/>
    <n v="77"/>
    <x v="0"/>
    <x v="0"/>
  </r>
  <r>
    <s v="female"/>
    <s v="group E"/>
    <x v="2"/>
    <s v="free/reduced"/>
    <x v="1"/>
    <n v="49"/>
    <n v="61"/>
    <n v="63"/>
    <n v="57.666666666666664"/>
    <x v="1"/>
    <x v="0"/>
  </r>
  <r>
    <s v="male"/>
    <s v="group C"/>
    <x v="3"/>
    <s v="standard"/>
    <x v="0"/>
    <n v="59"/>
    <n v="57"/>
    <n v="55"/>
    <n v="57"/>
    <x v="1"/>
    <x v="0"/>
  </r>
  <r>
    <s v="male"/>
    <s v="group B"/>
    <x v="4"/>
    <s v="free/reduced"/>
    <x v="1"/>
    <n v="59"/>
    <n v="70"/>
    <n v="58"/>
    <n v="62.333333333333336"/>
    <x v="0"/>
    <x v="0"/>
  </r>
  <r>
    <s v="female"/>
    <s v="group D"/>
    <x v="1"/>
    <s v="standard"/>
    <x v="0"/>
    <n v="76"/>
    <n v="90"/>
    <n v="87"/>
    <n v="84.333333333333329"/>
    <x v="2"/>
    <x v="0"/>
  </r>
  <r>
    <s v="female"/>
    <s v="group C"/>
    <x v="0"/>
    <s v="standard"/>
    <x v="0"/>
    <n v="55"/>
    <n v="71"/>
    <n v="71"/>
    <n v="65.666666666666671"/>
    <x v="0"/>
    <x v="0"/>
  </r>
  <r>
    <s v="female"/>
    <s v="group D"/>
    <x v="4"/>
    <s v="standard"/>
    <x v="0"/>
    <n v="78"/>
    <n v="87"/>
    <n v="89"/>
    <n v="84.666666666666671"/>
    <x v="2"/>
    <x v="0"/>
  </r>
  <r>
    <s v="female"/>
    <s v="group C"/>
    <x v="4"/>
    <s v="standard"/>
    <x v="0"/>
    <n v="51"/>
    <n v="53"/>
    <n v="62"/>
    <n v="55.333333333333336"/>
    <x v="1"/>
    <x v="0"/>
  </r>
  <r>
    <s v="female"/>
    <s v="group C"/>
    <x v="1"/>
    <s v="standard"/>
    <x v="0"/>
    <n v="41"/>
    <n v="43"/>
    <n v="45"/>
    <n v="43"/>
    <x v="1"/>
    <x v="0"/>
  </r>
  <r>
    <s v="female"/>
    <s v="group D"/>
    <x v="3"/>
    <s v="standard"/>
    <x v="1"/>
    <n v="74"/>
    <n v="78"/>
    <n v="86"/>
    <n v="79.333333333333329"/>
    <x v="0"/>
    <x v="0"/>
  </r>
  <r>
    <s v="male"/>
    <s v="group C"/>
    <x v="5"/>
    <s v="standard"/>
    <x v="1"/>
    <n v="62"/>
    <n v="54"/>
    <n v="58"/>
    <n v="58"/>
    <x v="1"/>
    <x v="0"/>
  </r>
  <r>
    <s v="male"/>
    <s v="group D"/>
    <x v="3"/>
    <s v="standard"/>
    <x v="1"/>
    <n v="77"/>
    <n v="71"/>
    <n v="64"/>
    <n v="70.666666666666671"/>
    <x v="0"/>
    <x v="0"/>
  </r>
  <r>
    <s v="male"/>
    <s v="group C"/>
    <x v="1"/>
    <s v="standard"/>
    <x v="1"/>
    <n v="45"/>
    <n v="52"/>
    <n v="45"/>
    <n v="47.333333333333336"/>
    <x v="1"/>
    <x v="0"/>
  </r>
  <r>
    <s v="male"/>
    <s v="group E"/>
    <x v="2"/>
    <s v="standard"/>
    <x v="0"/>
    <n v="100"/>
    <n v="84"/>
    <n v="87"/>
    <n v="90.333333333333329"/>
    <x v="2"/>
    <x v="0"/>
  </r>
  <r>
    <s v="female"/>
    <s v="group D"/>
    <x v="3"/>
    <s v="free/reduced"/>
    <x v="0"/>
    <n v="83"/>
    <n v="95"/>
    <n v="100"/>
    <n v="92.666666666666671"/>
    <x v="2"/>
    <x v="0"/>
  </r>
  <r>
    <s v="female"/>
    <s v="group E"/>
    <x v="3"/>
    <s v="free/reduced"/>
    <x v="0"/>
    <n v="77"/>
    <n v="75"/>
    <n v="82"/>
    <n v="78"/>
    <x v="0"/>
    <x v="0"/>
  </r>
  <r>
    <s v="male"/>
    <s v="group C"/>
    <x v="0"/>
    <s v="standard"/>
    <x v="0"/>
    <n v="66"/>
    <n v="70"/>
    <n v="64"/>
    <n v="66.666666666666671"/>
    <x v="0"/>
    <x v="0"/>
  </r>
  <r>
    <s v="male"/>
    <s v="group B"/>
    <x v="2"/>
    <s v="standard"/>
    <x v="1"/>
    <n v="65"/>
    <n v="63"/>
    <n v="57"/>
    <n v="61.666666666666664"/>
    <x v="0"/>
    <x v="0"/>
  </r>
  <r>
    <s v="male"/>
    <s v="group D"/>
    <x v="3"/>
    <s v="standard"/>
    <x v="1"/>
    <n v="62"/>
    <n v="55"/>
    <n v="56"/>
    <n v="57.666666666666664"/>
    <x v="1"/>
    <x v="0"/>
  </r>
  <r>
    <s v="male"/>
    <s v="group E"/>
    <x v="2"/>
    <s v="standard"/>
    <x v="1"/>
    <n v="55"/>
    <n v="54"/>
    <n v="54"/>
    <n v="54.333333333333336"/>
    <x v="1"/>
    <x v="0"/>
  </r>
  <r>
    <s v="male"/>
    <s v="group C"/>
    <x v="1"/>
    <s v="free/reduced"/>
    <x v="1"/>
    <n v="73"/>
    <n v="78"/>
    <n v="69"/>
    <n v="73.333333333333329"/>
    <x v="0"/>
    <x v="0"/>
  </r>
  <r>
    <s v="male"/>
    <s v="group A"/>
    <x v="2"/>
    <s v="standard"/>
    <x v="0"/>
    <n v="73"/>
    <n v="81"/>
    <n v="76"/>
    <n v="76.666666666666671"/>
    <x v="0"/>
    <x v="0"/>
  </r>
  <r>
    <s v="female"/>
    <s v="group B"/>
    <x v="3"/>
    <s v="standard"/>
    <x v="0"/>
    <n v="48"/>
    <n v="66"/>
    <n v="68"/>
    <n v="60.666666666666664"/>
    <x v="0"/>
    <x v="0"/>
  </r>
  <r>
    <s v="male"/>
    <s v="group D"/>
    <x v="2"/>
    <s v="free/reduced"/>
    <x v="1"/>
    <n v="52"/>
    <n v="44"/>
    <n v="49"/>
    <n v="48.333333333333336"/>
    <x v="1"/>
    <x v="0"/>
  </r>
  <r>
    <s v="female"/>
    <s v="group C"/>
    <x v="1"/>
    <s v="free/reduced"/>
    <x v="1"/>
    <n v="60"/>
    <n v="72"/>
    <n v="64"/>
    <n v="65.333333333333329"/>
    <x v="0"/>
    <x v="0"/>
  </r>
  <r>
    <s v="male"/>
    <s v="group B"/>
    <x v="3"/>
    <s v="free/reduced"/>
    <x v="1"/>
    <n v="68"/>
    <n v="63"/>
    <n v="57"/>
    <n v="62.666666666666664"/>
    <x v="0"/>
    <x v="0"/>
  </r>
  <r>
    <s v="female"/>
    <s v="group D"/>
    <x v="2"/>
    <s v="free/reduced"/>
    <x v="1"/>
    <n v="65"/>
    <n v="77"/>
    <n v="83"/>
    <n v="75"/>
    <x v="0"/>
    <x v="0"/>
  </r>
  <r>
    <s v="female"/>
    <s v="group D"/>
    <x v="4"/>
    <s v="standard"/>
    <x v="1"/>
    <n v="86"/>
    <n v="83"/>
    <n v="87"/>
    <n v="85.333333333333329"/>
    <x v="2"/>
    <x v="0"/>
  </r>
  <r>
    <s v="female"/>
    <s v="group B"/>
    <x v="3"/>
    <s v="standard"/>
    <x v="1"/>
    <n v="55"/>
    <n v="62"/>
    <n v="60"/>
    <n v="59"/>
    <x v="1"/>
    <x v="0"/>
  </r>
  <r>
    <s v="male"/>
    <s v="group B"/>
    <x v="5"/>
    <s v="standard"/>
    <x v="0"/>
    <n v="80"/>
    <n v="71"/>
    <n v="68"/>
    <n v="73"/>
    <x v="0"/>
    <x v="0"/>
  </r>
  <r>
    <s v="female"/>
    <s v="group B"/>
    <x v="0"/>
    <s v="free/reduced"/>
    <x v="1"/>
    <n v="51"/>
    <n v="57"/>
    <n v="57"/>
    <n v="55"/>
    <x v="1"/>
    <x v="0"/>
  </r>
  <r>
    <s v="female"/>
    <s v="group B"/>
    <x v="1"/>
    <s v="standard"/>
    <x v="0"/>
    <n v="63"/>
    <n v="61"/>
    <n v="66"/>
    <n v="63.333333333333336"/>
    <x v="0"/>
    <x v="0"/>
  </r>
  <r>
    <s v="male"/>
    <s v="group E"/>
    <x v="2"/>
    <s v="standard"/>
    <x v="1"/>
    <n v="60"/>
    <n v="55"/>
    <n v="46"/>
    <n v="53.666666666666664"/>
    <x v="1"/>
    <x v="0"/>
  </r>
  <r>
    <s v="female"/>
    <s v="group E"/>
    <x v="4"/>
    <s v="standard"/>
    <x v="0"/>
    <n v="100"/>
    <n v="100"/>
    <n v="100"/>
    <n v="100"/>
    <x v="2"/>
    <x v="0"/>
  </r>
  <r>
    <s v="male"/>
    <s v="group A"/>
    <x v="3"/>
    <s v="free/reduced"/>
    <x v="1"/>
    <n v="46"/>
    <n v="44"/>
    <n v="44"/>
    <n v="44.666666666666664"/>
    <x v="1"/>
    <x v="0"/>
  </r>
  <r>
    <s v="female"/>
    <s v="group C"/>
    <x v="2"/>
    <s v="standard"/>
    <x v="0"/>
    <n v="67"/>
    <n v="78"/>
    <n v="80"/>
    <n v="75"/>
    <x v="0"/>
    <x v="0"/>
  </r>
  <r>
    <s v="female"/>
    <s v="group C"/>
    <x v="0"/>
    <s v="free/reduced"/>
    <x v="1"/>
    <n v="54"/>
    <n v="67"/>
    <n v="59"/>
    <n v="60"/>
    <x v="0"/>
    <x v="0"/>
  </r>
  <r>
    <s v="female"/>
    <s v="group B"/>
    <x v="3"/>
    <s v="standard"/>
    <x v="1"/>
    <n v="63"/>
    <n v="79"/>
    <n v="76"/>
    <n v="72.666666666666671"/>
    <x v="0"/>
    <x v="0"/>
  </r>
  <r>
    <s v="male"/>
    <s v="group D"/>
    <x v="4"/>
    <s v="standard"/>
    <x v="1"/>
    <n v="68"/>
    <n v="66"/>
    <n v="73"/>
    <n v="69"/>
    <x v="0"/>
    <x v="0"/>
  </r>
  <r>
    <s v="female"/>
    <s v="group C"/>
    <x v="3"/>
    <s v="free/reduced"/>
    <x v="1"/>
    <n v="54"/>
    <n v="63"/>
    <n v="58"/>
    <n v="58.333333333333336"/>
    <x v="1"/>
    <x v="0"/>
  </r>
  <r>
    <s v="female"/>
    <s v="group C"/>
    <x v="2"/>
    <s v="standard"/>
    <x v="1"/>
    <n v="43"/>
    <n v="44"/>
    <n v="47"/>
    <n v="44.666666666666664"/>
    <x v="1"/>
    <x v="0"/>
  </r>
  <r>
    <s v="male"/>
    <s v="group B"/>
    <x v="0"/>
    <s v="free/reduced"/>
    <x v="1"/>
    <n v="64"/>
    <n v="64"/>
    <n v="59"/>
    <n v="62.333333333333336"/>
    <x v="0"/>
    <x v="0"/>
  </r>
  <r>
    <s v="female"/>
    <s v="group E"/>
    <x v="3"/>
    <s v="free/reduced"/>
    <x v="1"/>
    <n v="92"/>
    <n v="87"/>
    <n v="87"/>
    <n v="88.666666666666671"/>
    <x v="2"/>
    <x v="0"/>
  </r>
  <r>
    <s v="female"/>
    <s v="group D"/>
    <x v="3"/>
    <s v="free/reduced"/>
    <x v="1"/>
    <n v="82"/>
    <n v="95"/>
    <n v="93"/>
    <n v="90"/>
    <x v="2"/>
    <x v="0"/>
  </r>
  <r>
    <s v="male"/>
    <s v="group E"/>
    <x v="1"/>
    <s v="free/reduced"/>
    <x v="1"/>
    <n v="84"/>
    <n v="78"/>
    <n v="79"/>
    <n v="80.333333333333329"/>
    <x v="2"/>
    <x v="0"/>
  </r>
  <r>
    <s v="female"/>
    <s v="group D"/>
    <x v="3"/>
    <s v="standard"/>
    <x v="0"/>
    <n v="84"/>
    <n v="98"/>
    <n v="97"/>
    <n v="93"/>
    <x v="2"/>
    <x v="0"/>
  </r>
  <r>
    <s v="male"/>
    <s v="group D"/>
    <x v="3"/>
    <s v="free/reduced"/>
    <x v="1"/>
    <n v="65"/>
    <n v="63"/>
    <n v="65"/>
    <n v="64.333333333333329"/>
    <x v="0"/>
    <x v="0"/>
  </r>
  <r>
    <s v="female"/>
    <s v="group C"/>
    <x v="4"/>
    <s v="standard"/>
    <x v="1"/>
    <n v="83"/>
    <n v="92"/>
    <n v="91"/>
    <n v="88.666666666666671"/>
    <x v="2"/>
    <x v="0"/>
  </r>
  <r>
    <s v="female"/>
    <s v="group B"/>
    <x v="1"/>
    <s v="standard"/>
    <x v="0"/>
    <n v="70"/>
    <n v="75"/>
    <n v="75"/>
    <n v="73.333333333333329"/>
    <x v="0"/>
    <x v="0"/>
  </r>
  <r>
    <s v="male"/>
    <s v="group A"/>
    <x v="4"/>
    <s v="standard"/>
    <x v="0"/>
    <n v="66"/>
    <n v="72"/>
    <n v="70"/>
    <n v="69.333333333333329"/>
    <x v="0"/>
    <x v="0"/>
  </r>
  <r>
    <s v="female"/>
    <s v="group D"/>
    <x v="4"/>
    <s v="standard"/>
    <x v="0"/>
    <n v="71"/>
    <n v="87"/>
    <n v="92"/>
    <n v="83.333333333333329"/>
    <x v="2"/>
    <x v="0"/>
  </r>
  <r>
    <s v="male"/>
    <s v="group B"/>
    <x v="4"/>
    <s v="standard"/>
    <x v="1"/>
    <n v="66"/>
    <n v="64"/>
    <n v="58"/>
    <n v="62.666666666666664"/>
    <x v="0"/>
    <x v="0"/>
  </r>
  <r>
    <s v="female"/>
    <s v="group B"/>
    <x v="1"/>
    <s v="standard"/>
    <x v="0"/>
    <n v="57"/>
    <n v="64"/>
    <n v="68"/>
    <n v="63"/>
    <x v="0"/>
    <x v="0"/>
  </r>
  <r>
    <s v="female"/>
    <s v="group C"/>
    <x v="5"/>
    <s v="standard"/>
    <x v="1"/>
    <n v="86"/>
    <n v="90"/>
    <n v="93"/>
    <n v="89.666666666666671"/>
    <x v="2"/>
    <x v="0"/>
  </r>
  <r>
    <s v="female"/>
    <s v="group A"/>
    <x v="0"/>
    <s v="standard"/>
    <x v="1"/>
    <n v="80"/>
    <n v="85"/>
    <n v="83"/>
    <n v="82.666666666666671"/>
    <x v="2"/>
    <x v="0"/>
  </r>
  <r>
    <s v="female"/>
    <s v="group B"/>
    <x v="0"/>
    <s v="standard"/>
    <x v="1"/>
    <n v="62"/>
    <n v="60"/>
    <n v="59"/>
    <n v="60.333333333333336"/>
    <x v="0"/>
    <x v="0"/>
  </r>
  <r>
    <s v="female"/>
    <s v="group D"/>
    <x v="2"/>
    <s v="standard"/>
    <x v="1"/>
    <n v="71"/>
    <n v="71"/>
    <n v="76"/>
    <n v="72.666666666666671"/>
    <x v="0"/>
    <x v="0"/>
  </r>
  <r>
    <s v="female"/>
    <s v="group C"/>
    <x v="2"/>
    <s v="free/reduced"/>
    <x v="0"/>
    <n v="57"/>
    <n v="66"/>
    <n v="71"/>
    <n v="64.666666666666671"/>
    <x v="0"/>
    <x v="0"/>
  </r>
  <r>
    <s v="male"/>
    <s v="group A"/>
    <x v="1"/>
    <s v="free/reduced"/>
    <x v="0"/>
    <n v="69"/>
    <n v="64"/>
    <n v="62"/>
    <n v="65"/>
    <x v="0"/>
    <x v="0"/>
  </r>
  <r>
    <s v="male"/>
    <s v="group B"/>
    <x v="2"/>
    <s v="standard"/>
    <x v="0"/>
    <n v="83"/>
    <n v="74"/>
    <n v="72"/>
    <n v="76.333333333333329"/>
    <x v="0"/>
    <x v="0"/>
  </r>
  <r>
    <s v="female"/>
    <s v="group D"/>
    <x v="2"/>
    <s v="free/reduced"/>
    <x v="1"/>
    <n v="50"/>
    <n v="56"/>
    <n v="60"/>
    <n v="55.333333333333336"/>
    <x v="1"/>
    <x v="0"/>
  </r>
  <r>
    <s v="female"/>
    <s v="group C"/>
    <x v="4"/>
    <s v="standard"/>
    <x v="1"/>
    <n v="55"/>
    <n v="56"/>
    <n v="56"/>
    <n v="55.666666666666664"/>
    <x v="1"/>
    <x v="0"/>
  </r>
  <r>
    <s v="male"/>
    <s v="group B"/>
    <x v="1"/>
    <s v="free/reduced"/>
    <x v="1"/>
    <n v="55"/>
    <n v="53"/>
    <n v="51"/>
    <n v="53"/>
    <x v="1"/>
    <x v="0"/>
  </r>
  <r>
    <s v="female"/>
    <s v="group D"/>
    <x v="2"/>
    <s v="free/reduced"/>
    <x v="0"/>
    <n v="83"/>
    <n v="93"/>
    <n v="95"/>
    <n v="90.333333333333329"/>
    <x v="2"/>
    <x v="0"/>
  </r>
  <r>
    <s v="male"/>
    <s v="group D"/>
    <x v="0"/>
    <s v="standard"/>
    <x v="0"/>
    <n v="89"/>
    <n v="87"/>
    <n v="86"/>
    <n v="87.333333333333329"/>
    <x v="2"/>
    <x v="0"/>
  </r>
  <r>
    <s v="female"/>
    <s v="group D"/>
    <x v="1"/>
    <s v="standard"/>
    <x v="1"/>
    <n v="51"/>
    <n v="62"/>
    <n v="64"/>
    <n v="59"/>
    <x v="1"/>
    <x v="0"/>
  </r>
  <r>
    <s v="female"/>
    <s v="group C"/>
    <x v="2"/>
    <s v="standard"/>
    <x v="1"/>
    <n v="48"/>
    <n v="52"/>
    <n v="49"/>
    <n v="49.666666666666664"/>
    <x v="1"/>
    <x v="0"/>
  </r>
  <r>
    <s v="female"/>
    <s v="group E"/>
    <x v="4"/>
    <s v="standard"/>
    <x v="1"/>
    <n v="84"/>
    <n v="95"/>
    <n v="89"/>
    <n v="89.333333333333329"/>
    <x v="2"/>
    <x v="0"/>
  </r>
  <r>
    <s v="female"/>
    <s v="group C"/>
    <x v="3"/>
    <s v="standard"/>
    <x v="1"/>
    <n v="69"/>
    <n v="83"/>
    <n v="76"/>
    <n v="76"/>
    <x v="0"/>
    <x v="0"/>
  </r>
  <r>
    <s v="female"/>
    <s v="group C"/>
    <x v="3"/>
    <s v="standard"/>
    <x v="0"/>
    <n v="75"/>
    <n v="85"/>
    <n v="87"/>
    <n v="82.333333333333329"/>
    <x v="2"/>
    <x v="0"/>
  </r>
  <r>
    <s v="female"/>
    <s v="group C"/>
    <x v="5"/>
    <s v="standard"/>
    <x v="1"/>
    <n v="91"/>
    <n v="100"/>
    <n v="99"/>
    <n v="96.666666666666671"/>
    <x v="2"/>
    <x v="0"/>
  </r>
  <r>
    <s v="male"/>
    <s v="group B"/>
    <x v="0"/>
    <s v="standard"/>
    <x v="1"/>
    <n v="76"/>
    <n v="77"/>
    <n v="67"/>
    <n v="73.333333333333329"/>
    <x v="0"/>
    <x v="0"/>
  </r>
  <r>
    <s v="male"/>
    <s v="group E"/>
    <x v="1"/>
    <s v="free/reduced"/>
    <x v="1"/>
    <n v="63"/>
    <n v="61"/>
    <n v="59"/>
    <n v="61"/>
    <x v="0"/>
    <x v="0"/>
  </r>
  <r>
    <s v="male"/>
    <s v="group D"/>
    <x v="0"/>
    <s v="standard"/>
    <x v="1"/>
    <n v="73"/>
    <n v="65"/>
    <n v="64"/>
    <n v="67.333333333333329"/>
    <x v="0"/>
    <x v="0"/>
  </r>
  <r>
    <s v="male"/>
    <s v="group B"/>
    <x v="1"/>
    <s v="free/reduced"/>
    <x v="0"/>
    <n v="52"/>
    <n v="63"/>
    <n v="53"/>
    <n v="56"/>
    <x v="1"/>
    <x v="0"/>
  </r>
  <r>
    <s v="male"/>
    <s v="group B"/>
    <x v="1"/>
    <s v="standard"/>
    <x v="0"/>
    <n v="58"/>
    <n v="57"/>
    <n v="53"/>
    <n v="56"/>
    <x v="1"/>
    <x v="0"/>
  </r>
  <r>
    <s v="female"/>
    <s v="group B"/>
    <x v="1"/>
    <s v="standard"/>
    <x v="1"/>
    <n v="33"/>
    <n v="51"/>
    <n v="51"/>
    <n v="45"/>
    <x v="1"/>
    <x v="0"/>
  </r>
  <r>
    <s v="male"/>
    <s v="group E"/>
    <x v="1"/>
    <s v="free/reduced"/>
    <x v="1"/>
    <n v="68"/>
    <n v="62"/>
    <n v="61"/>
    <n v="63.666666666666664"/>
    <x v="0"/>
    <x v="0"/>
  </r>
  <r>
    <s v="female"/>
    <s v="group C"/>
    <x v="3"/>
    <s v="standard"/>
    <x v="0"/>
    <n v="77"/>
    <n v="91"/>
    <n v="89"/>
    <n v="85.666666666666671"/>
    <x v="2"/>
    <x v="0"/>
  </r>
  <r>
    <s v="female"/>
    <s v="group C"/>
    <x v="4"/>
    <s v="standard"/>
    <x v="1"/>
    <n v="64"/>
    <n v="64"/>
    <n v="66"/>
    <n v="64.666666666666671"/>
    <x v="0"/>
    <x v="0"/>
  </r>
  <r>
    <s v="female"/>
    <s v="group D"/>
    <x v="1"/>
    <s v="free/reduced"/>
    <x v="1"/>
    <n v="39"/>
    <n v="49"/>
    <n v="48"/>
    <n v="45.333333333333336"/>
    <x v="1"/>
    <x v="0"/>
  </r>
  <r>
    <s v="male"/>
    <s v="group D"/>
    <x v="4"/>
    <s v="standard"/>
    <x v="1"/>
    <n v="50"/>
    <n v="46"/>
    <n v="48"/>
    <n v="48"/>
    <x v="1"/>
    <x v="0"/>
  </r>
  <r>
    <s v="male"/>
    <s v="group A"/>
    <x v="5"/>
    <s v="free/reduced"/>
    <x v="1"/>
    <n v="53"/>
    <n v="57"/>
    <n v="51"/>
    <n v="53.666666666666664"/>
    <x v="1"/>
    <x v="0"/>
  </r>
  <r>
    <s v="female"/>
    <s v="group B"/>
    <x v="3"/>
    <s v="standard"/>
    <x v="0"/>
    <n v="54"/>
    <n v="62"/>
    <n v="70"/>
    <n v="62"/>
    <x v="0"/>
    <x v="0"/>
  </r>
  <r>
    <s v="male"/>
    <s v="group D"/>
    <x v="0"/>
    <s v="standard"/>
    <x v="1"/>
    <n v="74"/>
    <n v="63"/>
    <n v="65"/>
    <n v="67.333333333333329"/>
    <x v="0"/>
    <x v="0"/>
  </r>
  <r>
    <s v="female"/>
    <s v="group D"/>
    <x v="3"/>
    <s v="standard"/>
    <x v="0"/>
    <n v="50"/>
    <n v="63"/>
    <n v="65"/>
    <n v="59.333333333333336"/>
    <x v="1"/>
    <x v="0"/>
  </r>
  <r>
    <s v="male"/>
    <s v="group E"/>
    <x v="3"/>
    <s v="standard"/>
    <x v="1"/>
    <n v="55"/>
    <n v="54"/>
    <n v="47"/>
    <n v="52"/>
    <x v="1"/>
    <x v="0"/>
  </r>
  <r>
    <s v="male"/>
    <s v="group C"/>
    <x v="2"/>
    <s v="standard"/>
    <x v="1"/>
    <n v="77"/>
    <n v="64"/>
    <n v="70"/>
    <n v="70.333333333333329"/>
    <x v="0"/>
    <x v="0"/>
  </r>
  <r>
    <s v="female"/>
    <s v="group B"/>
    <x v="1"/>
    <s v="standard"/>
    <x v="0"/>
    <n v="49"/>
    <n v="64"/>
    <n v="67"/>
    <n v="60"/>
    <x v="0"/>
    <x v="0"/>
  </r>
  <r>
    <s v="female"/>
    <s v="group D"/>
    <x v="3"/>
    <s v="free/reduced"/>
    <x v="1"/>
    <n v="66"/>
    <n v="83"/>
    <n v="82"/>
    <n v="77"/>
    <x v="0"/>
    <x v="0"/>
  </r>
  <r>
    <s v="male"/>
    <s v="group B"/>
    <x v="1"/>
    <s v="standard"/>
    <x v="0"/>
    <n v="77"/>
    <n v="74"/>
    <n v="75"/>
    <n v="75.333333333333329"/>
    <x v="0"/>
    <x v="0"/>
  </r>
  <r>
    <s v="female"/>
    <s v="group A"/>
    <x v="5"/>
    <s v="standard"/>
    <x v="0"/>
    <n v="74"/>
    <n v="78"/>
    <n v="84"/>
    <n v="78.666666666666671"/>
    <x v="0"/>
    <x v="0"/>
  </r>
  <r>
    <s v="male"/>
    <s v="group C"/>
    <x v="2"/>
    <s v="standard"/>
    <x v="1"/>
    <n v="85"/>
    <n v="78"/>
    <n v="81"/>
    <n v="81.333333333333329"/>
    <x v="2"/>
    <x v="0"/>
  </r>
  <r>
    <s v="female"/>
    <s v="group A"/>
    <x v="2"/>
    <s v="standard"/>
    <x v="1"/>
    <n v="77"/>
    <n v="86"/>
    <n v="84"/>
    <n v="82.333333333333329"/>
    <x v="2"/>
    <x v="0"/>
  </r>
  <r>
    <s v="female"/>
    <s v="group B"/>
    <x v="3"/>
    <s v="standard"/>
    <x v="1"/>
    <n v="64"/>
    <n v="62"/>
    <n v="66"/>
    <n v="64"/>
    <x v="0"/>
    <x v="0"/>
  </r>
  <r>
    <s v="female"/>
    <s v="group D"/>
    <x v="0"/>
    <s v="free/reduced"/>
    <x v="0"/>
    <n v="61"/>
    <n v="69"/>
    <n v="68"/>
    <n v="66"/>
    <x v="0"/>
    <x v="0"/>
  </r>
  <r>
    <s v="male"/>
    <s v="group D"/>
    <x v="3"/>
    <s v="standard"/>
    <x v="1"/>
    <n v="97"/>
    <n v="88"/>
    <n v="85"/>
    <n v="90"/>
    <x v="2"/>
    <x v="0"/>
  </r>
  <r>
    <s v="male"/>
    <s v="group C"/>
    <x v="2"/>
    <s v="standard"/>
    <x v="0"/>
    <n v="66"/>
    <n v="75"/>
    <n v="70"/>
    <n v="70.333333333333329"/>
    <x v="0"/>
    <x v="0"/>
  </r>
  <r>
    <s v="male"/>
    <s v="group C"/>
    <x v="1"/>
    <s v="standard"/>
    <x v="1"/>
    <n v="62"/>
    <n v="66"/>
    <n v="64"/>
    <n v="64"/>
    <x v="0"/>
    <x v="0"/>
  </r>
  <r>
    <s v="female"/>
    <s v="group E"/>
    <x v="1"/>
    <s v="standard"/>
    <x v="0"/>
    <n v="64"/>
    <n v="80"/>
    <n v="77"/>
    <n v="73.666666666666671"/>
    <x v="0"/>
    <x v="0"/>
  </r>
  <r>
    <s v="female"/>
    <s v="group B"/>
    <x v="4"/>
    <s v="free/reduced"/>
    <x v="1"/>
    <n v="55"/>
    <n v="57"/>
    <n v="60"/>
    <n v="57.333333333333336"/>
    <x v="1"/>
    <x v="0"/>
  </r>
  <r>
    <s v="female"/>
    <s v="group B"/>
    <x v="3"/>
    <s v="standard"/>
    <x v="1"/>
    <n v="53"/>
    <n v="72"/>
    <n v="66"/>
    <n v="63.666666666666664"/>
    <x v="0"/>
    <x v="0"/>
  </r>
  <r>
    <s v="female"/>
    <s v="group D"/>
    <x v="2"/>
    <s v="free/reduced"/>
    <x v="1"/>
    <n v="71"/>
    <n v="81"/>
    <n v="77"/>
    <n v="76.333333333333329"/>
    <x v="0"/>
    <x v="0"/>
  </r>
  <r>
    <s v="male"/>
    <s v="group B"/>
    <x v="0"/>
    <s v="free/reduced"/>
    <x v="0"/>
    <n v="66"/>
    <n v="59"/>
    <n v="68"/>
    <n v="64.333333333333329"/>
    <x v="0"/>
    <x v="0"/>
  </r>
  <r>
    <s v="male"/>
    <s v="group C"/>
    <x v="3"/>
    <s v="standard"/>
    <x v="1"/>
    <n v="68"/>
    <n v="61"/>
    <n v="62"/>
    <n v="63.666666666666664"/>
    <x v="0"/>
    <x v="0"/>
  </r>
  <r>
    <s v="male"/>
    <s v="group D"/>
    <x v="2"/>
    <s v="standard"/>
    <x v="1"/>
    <n v="89"/>
    <n v="90"/>
    <n v="83"/>
    <n v="87.333333333333329"/>
    <x v="2"/>
    <x v="0"/>
  </r>
  <r>
    <s v="male"/>
    <s v="group C"/>
    <x v="3"/>
    <s v="standard"/>
    <x v="0"/>
    <n v="65"/>
    <n v="69"/>
    <n v="74"/>
    <n v="69.333333333333329"/>
    <x v="0"/>
    <x v="0"/>
  </r>
  <r>
    <s v="female"/>
    <s v="group B"/>
    <x v="1"/>
    <s v="standard"/>
    <x v="1"/>
    <n v="43"/>
    <n v="48"/>
    <n v="44"/>
    <n v="45"/>
    <x v="1"/>
    <x v="0"/>
  </r>
  <r>
    <s v="female"/>
    <s v="group D"/>
    <x v="5"/>
    <s v="standard"/>
    <x v="1"/>
    <n v="79"/>
    <n v="77"/>
    <n v="83"/>
    <n v="79.666666666666671"/>
    <x v="0"/>
    <x v="0"/>
  </r>
  <r>
    <s v="male"/>
    <s v="group D"/>
    <x v="4"/>
    <s v="standard"/>
    <x v="1"/>
    <n v="99"/>
    <n v="94"/>
    <n v="97"/>
    <n v="96.666666666666671"/>
    <x v="2"/>
    <x v="0"/>
  </r>
  <r>
    <s v="male"/>
    <s v="group D"/>
    <x v="1"/>
    <s v="standard"/>
    <x v="1"/>
    <n v="82"/>
    <n v="69"/>
    <n v="72"/>
    <n v="74.333333333333329"/>
    <x v="0"/>
    <x v="0"/>
  </r>
  <r>
    <s v="male"/>
    <s v="group D"/>
    <x v="2"/>
    <s v="free/reduced"/>
    <x v="0"/>
    <n v="35"/>
    <n v="36"/>
    <n v="39"/>
    <n v="36.666666666666664"/>
    <x v="3"/>
    <x v="1"/>
  </r>
  <r>
    <s v="female"/>
    <s v="group D"/>
    <x v="4"/>
    <s v="free/reduced"/>
    <x v="1"/>
    <n v="61"/>
    <n v="71"/>
    <n v="73"/>
    <n v="68.333333333333329"/>
    <x v="0"/>
    <x v="0"/>
  </r>
  <r>
    <s v="female"/>
    <s v="group D"/>
    <x v="0"/>
    <s v="standard"/>
    <x v="1"/>
    <n v="76"/>
    <n v="80"/>
    <n v="81"/>
    <n v="79"/>
    <x v="0"/>
    <x v="0"/>
  </r>
  <r>
    <s v="male"/>
    <s v="group C"/>
    <x v="3"/>
    <s v="free/reduced"/>
    <x v="0"/>
    <n v="94"/>
    <n v="83"/>
    <n v="82"/>
    <n v="86.333333333333329"/>
    <x v="2"/>
    <x v="0"/>
  </r>
  <r>
    <s v="female"/>
    <s v="group C"/>
    <x v="0"/>
    <s v="standard"/>
    <x v="1"/>
    <n v="75"/>
    <n v="90"/>
    <n v="78"/>
    <n v="81"/>
    <x v="2"/>
    <x v="0"/>
  </r>
  <r>
    <s v="male"/>
    <s v="group B"/>
    <x v="2"/>
    <s v="standard"/>
    <x v="1"/>
    <n v="81"/>
    <n v="75"/>
    <n v="70"/>
    <n v="75.333333333333329"/>
    <x v="0"/>
    <x v="0"/>
  </r>
  <r>
    <s v="male"/>
    <s v="group C"/>
    <x v="2"/>
    <s v="free/reduced"/>
    <x v="1"/>
    <n v="35"/>
    <n v="44"/>
    <n v="33"/>
    <n v="37.333333333333336"/>
    <x v="3"/>
    <x v="1"/>
  </r>
  <r>
    <s v="male"/>
    <s v="group C"/>
    <x v="2"/>
    <s v="standard"/>
    <x v="1"/>
    <n v="76"/>
    <n v="74"/>
    <n v="72"/>
    <n v="74"/>
    <x v="0"/>
    <x v="0"/>
  </r>
  <r>
    <s v="female"/>
    <s v="group B"/>
    <x v="4"/>
    <s v="standard"/>
    <x v="1"/>
    <n v="58"/>
    <n v="79"/>
    <n v="82"/>
    <n v="73"/>
    <x v="0"/>
    <x v="0"/>
  </r>
  <r>
    <s v="male"/>
    <s v="group C"/>
    <x v="3"/>
    <s v="standard"/>
    <x v="0"/>
    <n v="100"/>
    <n v="91"/>
    <n v="90"/>
    <n v="93.666666666666671"/>
    <x v="2"/>
    <x v="0"/>
  </r>
  <r>
    <s v="female"/>
    <s v="group C"/>
    <x v="4"/>
    <s v="standard"/>
    <x v="1"/>
    <n v="53"/>
    <n v="68"/>
    <n v="64"/>
    <n v="61.666666666666664"/>
    <x v="0"/>
    <x v="0"/>
  </r>
  <r>
    <s v="female"/>
    <s v="group D"/>
    <x v="0"/>
    <s v="standard"/>
    <x v="1"/>
    <n v="82"/>
    <n v="95"/>
    <n v="96"/>
    <n v="91"/>
    <x v="2"/>
    <x v="0"/>
  </r>
  <r>
    <s v="male"/>
    <s v="group B"/>
    <x v="3"/>
    <s v="standard"/>
    <x v="1"/>
    <n v="76"/>
    <n v="62"/>
    <n v="64"/>
    <n v="67.333333333333329"/>
    <x v="0"/>
    <x v="0"/>
  </r>
  <r>
    <s v="male"/>
    <s v="group C"/>
    <x v="4"/>
    <s v="standard"/>
    <x v="0"/>
    <n v="83"/>
    <n v="75"/>
    <n v="75"/>
    <n v="77.666666666666671"/>
    <x v="0"/>
    <x v="0"/>
  </r>
  <r>
    <s v="female"/>
    <s v="group D"/>
    <x v="2"/>
    <s v="standard"/>
    <x v="1"/>
    <n v="72"/>
    <n v="84"/>
    <n v="82"/>
    <n v="79.333333333333329"/>
    <x v="0"/>
    <x v="0"/>
  </r>
  <r>
    <s v="male"/>
    <s v="group D"/>
    <x v="3"/>
    <s v="standard"/>
    <x v="0"/>
    <n v="76"/>
    <n v="76"/>
    <n v="83"/>
    <n v="78.333333333333329"/>
    <x v="0"/>
    <x v="0"/>
  </r>
  <r>
    <s v="male"/>
    <s v="group D"/>
    <x v="1"/>
    <s v="standard"/>
    <x v="1"/>
    <n v="66"/>
    <n v="64"/>
    <n v="58"/>
    <n v="62.666666666666664"/>
    <x v="0"/>
    <x v="0"/>
  </r>
  <r>
    <s v="male"/>
    <s v="group C"/>
    <x v="2"/>
    <s v="standard"/>
    <x v="1"/>
    <n v="63"/>
    <n v="65"/>
    <n v="63"/>
    <n v="63.666666666666664"/>
    <x v="0"/>
    <x v="0"/>
  </r>
  <r>
    <s v="male"/>
    <s v="group B"/>
    <x v="1"/>
    <s v="standard"/>
    <x v="1"/>
    <n v="36"/>
    <n v="34"/>
    <n v="28"/>
    <n v="32.666666666666664"/>
    <x v="3"/>
    <x v="1"/>
  </r>
  <r>
    <s v="male"/>
    <s v="group C"/>
    <x v="0"/>
    <s v="standard"/>
    <x v="1"/>
    <n v="68"/>
    <n v="74"/>
    <n v="71"/>
    <n v="71"/>
    <x v="0"/>
    <x v="0"/>
  </r>
  <r>
    <s v="female"/>
    <s v="group C"/>
    <x v="1"/>
    <s v="free/reduced"/>
    <x v="0"/>
    <n v="40"/>
    <n v="52"/>
    <n v="42"/>
    <n v="44.666666666666664"/>
    <x v="1"/>
    <x v="0"/>
  </r>
  <r>
    <s v="male"/>
    <s v="group D"/>
    <x v="1"/>
    <s v="standard"/>
    <x v="1"/>
    <n v="68"/>
    <n v="71"/>
    <n v="61"/>
    <n v="66.666666666666671"/>
    <x v="0"/>
    <x v="0"/>
  </r>
  <r>
    <s v="male"/>
    <s v="group C"/>
    <x v="3"/>
    <s v="standard"/>
    <x v="0"/>
    <n v="56"/>
    <n v="54"/>
    <n v="52"/>
    <n v="54"/>
    <x v="1"/>
    <x v="0"/>
  </r>
  <r>
    <s v="female"/>
    <s v="group D"/>
    <x v="3"/>
    <s v="free/reduced"/>
    <x v="1"/>
    <n v="74"/>
    <n v="83"/>
    <n v="80"/>
    <n v="79"/>
    <x v="0"/>
    <x v="0"/>
  </r>
  <r>
    <s v="female"/>
    <s v="group D"/>
    <x v="2"/>
    <s v="free/reduced"/>
    <x v="1"/>
    <n v="53"/>
    <n v="70"/>
    <n v="71"/>
    <n v="64.666666666666671"/>
    <x v="0"/>
    <x v="0"/>
  </r>
  <r>
    <s v="male"/>
    <s v="group B"/>
    <x v="1"/>
    <s v="standard"/>
    <x v="1"/>
    <n v="88"/>
    <n v="65"/>
    <n v="70"/>
    <n v="74.333333333333329"/>
    <x v="0"/>
    <x v="0"/>
  </r>
  <r>
    <s v="male"/>
    <s v="group D"/>
    <x v="1"/>
    <s v="standard"/>
    <x v="1"/>
    <n v="67"/>
    <n v="63"/>
    <n v="61"/>
    <n v="63.666666666666664"/>
    <x v="0"/>
    <x v="0"/>
  </r>
  <r>
    <s v="female"/>
    <s v="group B"/>
    <x v="3"/>
    <s v="standard"/>
    <x v="1"/>
    <n v="60"/>
    <n v="76"/>
    <n v="65"/>
    <n v="67"/>
    <x v="0"/>
    <x v="0"/>
  </r>
  <r>
    <s v="female"/>
    <s v="group C"/>
    <x v="0"/>
    <s v="free/reduced"/>
    <x v="1"/>
    <n v="51"/>
    <n v="61"/>
    <n v="54"/>
    <n v="55.333333333333336"/>
    <x v="1"/>
    <x v="0"/>
  </r>
  <r>
    <s v="female"/>
    <s v="group D"/>
    <x v="1"/>
    <s v="standard"/>
    <x v="1"/>
    <n v="53"/>
    <n v="66"/>
    <n v="59"/>
    <n v="59.333333333333336"/>
    <x v="1"/>
    <x v="0"/>
  </r>
  <r>
    <s v="male"/>
    <s v="group A"/>
    <x v="4"/>
    <s v="standard"/>
    <x v="1"/>
    <n v="80"/>
    <n v="78"/>
    <n v="74"/>
    <n v="77.333333333333329"/>
    <x v="0"/>
    <x v="0"/>
  </r>
  <r>
    <s v="female"/>
    <s v="group E"/>
    <x v="1"/>
    <s v="standard"/>
    <x v="1"/>
    <n v="69"/>
    <n v="71"/>
    <n v="67"/>
    <n v="69"/>
    <x v="0"/>
    <x v="0"/>
  </r>
  <r>
    <s v="female"/>
    <s v="group B"/>
    <x v="1"/>
    <s v="free/reduced"/>
    <x v="1"/>
    <n v="64"/>
    <n v="79"/>
    <n v="70"/>
    <n v="71"/>
    <x v="0"/>
    <x v="0"/>
  </r>
  <r>
    <s v="female"/>
    <s v="group D"/>
    <x v="3"/>
    <s v="free/reduced"/>
    <x v="0"/>
    <n v="80"/>
    <n v="87"/>
    <n v="89"/>
    <n v="85.333333333333329"/>
    <x v="2"/>
    <x v="0"/>
  </r>
  <r>
    <s v="female"/>
    <s v="group A"/>
    <x v="1"/>
    <s v="standard"/>
    <x v="1"/>
    <n v="58"/>
    <n v="72"/>
    <n v="62"/>
    <n v="64"/>
    <x v="0"/>
    <x v="0"/>
  </r>
  <r>
    <s v="female"/>
    <s v="group C"/>
    <x v="0"/>
    <s v="standard"/>
    <x v="1"/>
    <n v="39"/>
    <n v="46"/>
    <n v="50"/>
    <n v="45"/>
    <x v="1"/>
    <x v="0"/>
  </r>
  <r>
    <s v="male"/>
    <s v="group D"/>
    <x v="1"/>
    <s v="standard"/>
    <x v="1"/>
    <n v="64"/>
    <n v="56"/>
    <n v="50"/>
    <n v="56.666666666666664"/>
    <x v="1"/>
    <x v="0"/>
  </r>
  <r>
    <s v="male"/>
    <s v="group D"/>
    <x v="3"/>
    <s v="standard"/>
    <x v="1"/>
    <n v="61"/>
    <n v="66"/>
    <n v="63"/>
    <n v="63.333333333333336"/>
    <x v="0"/>
    <x v="0"/>
  </r>
  <r>
    <s v="male"/>
    <s v="group D"/>
    <x v="1"/>
    <s v="standard"/>
    <x v="0"/>
    <n v="90"/>
    <n v="82"/>
    <n v="88"/>
    <n v="86.666666666666671"/>
    <x v="2"/>
    <x v="0"/>
  </r>
  <r>
    <s v="male"/>
    <s v="group D"/>
    <x v="1"/>
    <s v="standard"/>
    <x v="1"/>
    <n v="73"/>
    <n v="71"/>
    <n v="64"/>
    <n v="69.333333333333329"/>
    <x v="0"/>
    <x v="0"/>
  </r>
  <r>
    <s v="male"/>
    <s v="group C"/>
    <x v="3"/>
    <s v="standard"/>
    <x v="1"/>
    <n v="73"/>
    <n v="73"/>
    <n v="70"/>
    <n v="72"/>
    <x v="0"/>
    <x v="0"/>
  </r>
  <r>
    <s v="female"/>
    <s v="group D"/>
    <x v="3"/>
    <s v="standard"/>
    <x v="1"/>
    <n v="67"/>
    <n v="76"/>
    <n v="77"/>
    <n v="73.333333333333329"/>
    <x v="0"/>
    <x v="0"/>
  </r>
  <r>
    <s v="female"/>
    <s v="group B"/>
    <x v="2"/>
    <s v="standard"/>
    <x v="1"/>
    <n v="57"/>
    <n v="58"/>
    <n v="62"/>
    <n v="59"/>
    <x v="1"/>
    <x v="0"/>
  </r>
  <r>
    <s v="female"/>
    <s v="group E"/>
    <x v="2"/>
    <s v="standard"/>
    <x v="1"/>
    <n v="65"/>
    <n v="73"/>
    <n v="72"/>
    <n v="70"/>
    <x v="0"/>
    <x v="0"/>
  </r>
  <r>
    <s v="female"/>
    <s v="group C"/>
    <x v="1"/>
    <s v="standard"/>
    <x v="1"/>
    <n v="71"/>
    <n v="72"/>
    <n v="71"/>
    <n v="71.333333333333329"/>
    <x v="0"/>
    <x v="0"/>
  </r>
  <r>
    <s v="female"/>
    <s v="group D"/>
    <x v="1"/>
    <s v="standard"/>
    <x v="1"/>
    <n v="59"/>
    <n v="69"/>
    <n v="72"/>
    <n v="66.666666666666671"/>
    <x v="0"/>
    <x v="0"/>
  </r>
  <r>
    <s v="male"/>
    <s v="group B"/>
    <x v="0"/>
    <s v="standard"/>
    <x v="0"/>
    <n v="74"/>
    <n v="71"/>
    <n v="65"/>
    <n v="70"/>
    <x v="0"/>
    <x v="0"/>
  </r>
  <r>
    <s v="female"/>
    <s v="group E"/>
    <x v="0"/>
    <s v="standard"/>
    <x v="1"/>
    <n v="93"/>
    <n v="100"/>
    <n v="93"/>
    <n v="95.333333333333329"/>
    <x v="2"/>
    <x v="0"/>
  </r>
  <r>
    <s v="female"/>
    <s v="group B"/>
    <x v="1"/>
    <s v="standard"/>
    <x v="0"/>
    <n v="85"/>
    <n v="93"/>
    <n v="92"/>
    <n v="90"/>
    <x v="2"/>
    <x v="0"/>
  </r>
  <r>
    <s v="female"/>
    <s v="group E"/>
    <x v="1"/>
    <s v="standard"/>
    <x v="1"/>
    <n v="76"/>
    <n v="83"/>
    <n v="79"/>
    <n v="79.333333333333329"/>
    <x v="0"/>
    <x v="0"/>
  </r>
  <r>
    <s v="female"/>
    <s v="group D"/>
    <x v="0"/>
    <s v="free/reduced"/>
    <x v="1"/>
    <n v="58"/>
    <n v="72"/>
    <n v="70"/>
    <n v="66.666666666666671"/>
    <x v="0"/>
    <x v="0"/>
  </r>
  <r>
    <s v="female"/>
    <s v="group E"/>
    <x v="3"/>
    <s v="standard"/>
    <x v="1"/>
    <n v="72"/>
    <n v="77"/>
    <n v="77"/>
    <n v="75.333333333333329"/>
    <x v="0"/>
    <x v="0"/>
  </r>
  <r>
    <s v="female"/>
    <s v="group B"/>
    <x v="0"/>
    <s v="standard"/>
    <x v="1"/>
    <n v="40"/>
    <n v="49"/>
    <n v="47"/>
    <n v="45.333333333333336"/>
    <x v="1"/>
    <x v="0"/>
  </r>
  <r>
    <s v="male"/>
    <s v="group D"/>
    <x v="0"/>
    <s v="standard"/>
    <x v="0"/>
    <n v="75"/>
    <n v="73"/>
    <n v="66"/>
    <n v="71.333333333333329"/>
    <x v="0"/>
    <x v="0"/>
  </r>
  <r>
    <s v="male"/>
    <s v="group D"/>
    <x v="1"/>
    <s v="standard"/>
    <x v="1"/>
    <n v="85"/>
    <n v="81"/>
    <n v="80"/>
    <n v="82"/>
    <x v="2"/>
    <x v="0"/>
  </r>
  <r>
    <s v="male"/>
    <s v="group E"/>
    <x v="3"/>
    <s v="standard"/>
    <x v="0"/>
    <n v="100"/>
    <n v="100"/>
    <n v="100"/>
    <n v="100"/>
    <x v="2"/>
    <x v="0"/>
  </r>
  <r>
    <s v="female"/>
    <s v="group B"/>
    <x v="2"/>
    <s v="free/reduced"/>
    <x v="0"/>
    <n v="53"/>
    <n v="65"/>
    <n v="66"/>
    <n v="61.333333333333336"/>
    <x v="0"/>
    <x v="0"/>
  </r>
  <r>
    <s v="male"/>
    <s v="group D"/>
    <x v="2"/>
    <s v="free/reduced"/>
    <x v="1"/>
    <n v="40"/>
    <n v="42"/>
    <n v="39"/>
    <n v="40.333333333333336"/>
    <x v="1"/>
    <x v="0"/>
  </r>
  <r>
    <s v="male"/>
    <s v="group B"/>
    <x v="4"/>
    <s v="free/reduced"/>
    <x v="1"/>
    <n v="49"/>
    <n v="49"/>
    <n v="49"/>
    <n v="49"/>
    <x v="1"/>
    <x v="0"/>
  </r>
  <r>
    <s v="male"/>
    <s v="group C"/>
    <x v="3"/>
    <s v="standard"/>
    <x v="1"/>
    <n v="77"/>
    <n v="80"/>
    <n v="80"/>
    <n v="79"/>
    <x v="0"/>
    <x v="0"/>
  </r>
  <r>
    <s v="female"/>
    <s v="group D"/>
    <x v="0"/>
    <s v="standard"/>
    <x v="1"/>
    <n v="82"/>
    <n v="89"/>
    <n v="84"/>
    <n v="85"/>
    <x v="2"/>
    <x v="0"/>
  </r>
  <r>
    <s v="male"/>
    <s v="group C"/>
    <x v="2"/>
    <s v="standard"/>
    <x v="1"/>
    <n v="55"/>
    <n v="48"/>
    <n v="42"/>
    <n v="48.333333333333336"/>
    <x v="1"/>
    <x v="0"/>
  </r>
  <r>
    <s v="female"/>
    <s v="group C"/>
    <x v="1"/>
    <s v="free/reduced"/>
    <x v="1"/>
    <n v="62"/>
    <n v="71"/>
    <n v="77"/>
    <n v="70"/>
    <x v="0"/>
    <x v="0"/>
  </r>
  <r>
    <s v="male"/>
    <s v="group B"/>
    <x v="0"/>
    <s v="standard"/>
    <x v="0"/>
    <n v="69"/>
    <n v="63"/>
    <n v="59"/>
    <n v="63.666666666666664"/>
    <x v="0"/>
    <x v="0"/>
  </r>
  <r>
    <s v="male"/>
    <s v="group C"/>
    <x v="3"/>
    <s v="standard"/>
    <x v="1"/>
    <n v="78"/>
    <n v="74"/>
    <n v="76"/>
    <n v="76"/>
    <x v="0"/>
    <x v="0"/>
  </r>
  <r>
    <s v="female"/>
    <s v="group B"/>
    <x v="0"/>
    <s v="free/reduced"/>
    <x v="0"/>
    <n v="71"/>
    <n v="77"/>
    <n v="82"/>
    <n v="76.666666666666671"/>
    <x v="0"/>
    <x v="0"/>
  </r>
  <r>
    <s v="male"/>
    <s v="group D"/>
    <x v="2"/>
    <s v="free/reduced"/>
    <x v="0"/>
    <n v="59"/>
    <n v="71"/>
    <n v="66"/>
    <n v="65.333333333333329"/>
    <x v="0"/>
    <x v="0"/>
  </r>
  <r>
    <s v="female"/>
    <s v="group D"/>
    <x v="0"/>
    <s v="free/reduced"/>
    <x v="1"/>
    <n v="60"/>
    <n v="75"/>
    <n v="70"/>
    <n v="68.333333333333329"/>
    <x v="0"/>
    <x v="0"/>
  </r>
  <r>
    <s v="female"/>
    <s v="group C"/>
    <x v="4"/>
    <s v="free/reduced"/>
    <x v="0"/>
    <n v="43"/>
    <n v="60"/>
    <n v="60"/>
    <n v="54.333333333333336"/>
    <x v="1"/>
    <x v="0"/>
  </r>
  <r>
    <s v="female"/>
    <s v="group C"/>
    <x v="1"/>
    <s v="standard"/>
    <x v="1"/>
    <n v="77"/>
    <n v="83"/>
    <n v="86"/>
    <n v="82"/>
    <x v="2"/>
    <x v="0"/>
  </r>
  <r>
    <s v="male"/>
    <s v="group D"/>
    <x v="1"/>
    <s v="free/reduced"/>
    <x v="1"/>
    <n v="50"/>
    <n v="47"/>
    <n v="46"/>
    <n v="47.666666666666664"/>
    <x v="1"/>
    <x v="0"/>
  </r>
  <r>
    <s v="female"/>
    <s v="group E"/>
    <x v="4"/>
    <s v="free/reduced"/>
    <x v="1"/>
    <n v="56"/>
    <n v="58"/>
    <n v="52"/>
    <n v="55.333333333333336"/>
    <x v="1"/>
    <x v="0"/>
  </r>
  <r>
    <s v="male"/>
    <s v="group B"/>
    <x v="0"/>
    <s v="standard"/>
    <x v="1"/>
    <n v="69"/>
    <n v="58"/>
    <n v="50"/>
    <n v="59"/>
    <x v="1"/>
    <x v="0"/>
  </r>
  <r>
    <s v="male"/>
    <s v="group D"/>
    <x v="0"/>
    <s v="standard"/>
    <x v="1"/>
    <n v="47"/>
    <n v="43"/>
    <n v="39"/>
    <n v="43"/>
    <x v="1"/>
    <x v="0"/>
  </r>
  <r>
    <s v="male"/>
    <s v="group B"/>
    <x v="2"/>
    <s v="free/reduced"/>
    <x v="1"/>
    <n v="43"/>
    <n v="28"/>
    <n v="24"/>
    <n v="31.666666666666668"/>
    <x v="3"/>
    <x v="1"/>
  </r>
  <r>
    <s v="male"/>
    <s v="group A"/>
    <x v="1"/>
    <s v="free/reduced"/>
    <x v="1"/>
    <n v="48"/>
    <n v="39"/>
    <n v="40"/>
    <n v="42.333333333333336"/>
    <x v="1"/>
    <x v="0"/>
  </r>
  <r>
    <s v="male"/>
    <s v="group C"/>
    <x v="0"/>
    <s v="free/reduced"/>
    <x v="1"/>
    <n v="55"/>
    <n v="62"/>
    <n v="49"/>
    <n v="55.333333333333336"/>
    <x v="1"/>
    <x v="0"/>
  </r>
  <r>
    <s v="male"/>
    <s v="group C"/>
    <x v="2"/>
    <s v="standard"/>
    <x v="1"/>
    <n v="73"/>
    <n v="68"/>
    <n v="66"/>
    <n v="69"/>
    <x v="0"/>
    <x v="0"/>
  </r>
  <r>
    <s v="male"/>
    <s v="group D"/>
    <x v="4"/>
    <s v="standard"/>
    <x v="1"/>
    <n v="71"/>
    <n v="63"/>
    <n v="66"/>
    <n v="66.666666666666671"/>
    <x v="0"/>
    <x v="0"/>
  </r>
  <r>
    <s v="female"/>
    <s v="group B"/>
    <x v="2"/>
    <s v="standard"/>
    <x v="1"/>
    <n v="54"/>
    <n v="57"/>
    <n v="60"/>
    <n v="57"/>
    <x v="1"/>
    <x v="0"/>
  </r>
  <r>
    <s v="male"/>
    <s v="group C"/>
    <x v="0"/>
    <s v="standard"/>
    <x v="1"/>
    <n v="66"/>
    <n v="61"/>
    <n v="63"/>
    <n v="63.333333333333336"/>
    <x v="0"/>
    <x v="0"/>
  </r>
  <r>
    <s v="male"/>
    <s v="group A"/>
    <x v="5"/>
    <s v="standard"/>
    <x v="1"/>
    <n v="63"/>
    <n v="63"/>
    <n v="67"/>
    <n v="64.333333333333329"/>
    <x v="0"/>
    <x v="0"/>
  </r>
  <r>
    <s v="female"/>
    <s v="group D"/>
    <x v="4"/>
    <s v="standard"/>
    <x v="1"/>
    <n v="66"/>
    <n v="81"/>
    <n v="73"/>
    <n v="73.333333333333329"/>
    <x v="0"/>
    <x v="0"/>
  </r>
  <r>
    <s v="male"/>
    <s v="group C"/>
    <x v="4"/>
    <s v="standard"/>
    <x v="0"/>
    <n v="79"/>
    <n v="80"/>
    <n v="75"/>
    <n v="78"/>
    <x v="0"/>
    <x v="0"/>
  </r>
  <r>
    <s v="male"/>
    <s v="group D"/>
    <x v="3"/>
    <s v="free/reduced"/>
    <x v="0"/>
    <n v="73"/>
    <n v="69"/>
    <n v="70"/>
    <n v="70.666666666666671"/>
    <x v="0"/>
    <x v="0"/>
  </r>
  <r>
    <s v="female"/>
    <s v="group C"/>
    <x v="1"/>
    <s v="standard"/>
    <x v="1"/>
    <n v="36"/>
    <n v="57"/>
    <n v="53"/>
    <n v="48.666666666666664"/>
    <x v="1"/>
    <x v="0"/>
  </r>
  <r>
    <s v="male"/>
    <s v="group C"/>
    <x v="3"/>
    <s v="free/reduced"/>
    <x v="1"/>
    <n v="50"/>
    <n v="48"/>
    <n v="43"/>
    <n v="47"/>
    <x v="1"/>
    <x v="0"/>
  </r>
  <r>
    <s v="male"/>
    <s v="group E"/>
    <x v="2"/>
    <s v="standard"/>
    <x v="0"/>
    <n v="87"/>
    <n v="78"/>
    <n v="80"/>
    <n v="81.666666666666671"/>
    <x v="2"/>
    <x v="0"/>
  </r>
  <r>
    <s v="male"/>
    <s v="group C"/>
    <x v="3"/>
    <s v="standard"/>
    <x v="1"/>
    <n v="71"/>
    <n v="68"/>
    <n v="63"/>
    <n v="67.333333333333329"/>
    <x v="0"/>
    <x v="0"/>
  </r>
  <r>
    <s v="female"/>
    <s v="group C"/>
    <x v="3"/>
    <s v="standard"/>
    <x v="0"/>
    <n v="85"/>
    <n v="87"/>
    <n v="94"/>
    <n v="88.666666666666671"/>
    <x v="2"/>
    <x v="0"/>
  </r>
  <r>
    <s v="female"/>
    <s v="group C"/>
    <x v="0"/>
    <s v="standard"/>
    <x v="0"/>
    <n v="58"/>
    <n v="67"/>
    <n v="64"/>
    <n v="63"/>
    <x v="0"/>
    <x v="0"/>
  </r>
  <r>
    <s v="male"/>
    <s v="group C"/>
    <x v="2"/>
    <s v="standard"/>
    <x v="1"/>
    <n v="86"/>
    <n v="83"/>
    <n v="81"/>
    <n v="83.333333333333329"/>
    <x v="2"/>
    <x v="0"/>
  </r>
  <r>
    <s v="female"/>
    <s v="group D"/>
    <x v="1"/>
    <s v="free/reduced"/>
    <x v="1"/>
    <n v="64"/>
    <n v="86"/>
    <n v="89"/>
    <n v="79.666666666666671"/>
    <x v="0"/>
    <x v="0"/>
  </r>
  <r>
    <s v="male"/>
    <s v="group D"/>
    <x v="2"/>
    <s v="standard"/>
    <x v="1"/>
    <n v="83"/>
    <n v="85"/>
    <n v="79"/>
    <n v="82.333333333333329"/>
    <x v="2"/>
    <x v="0"/>
  </r>
  <r>
    <s v="male"/>
    <s v="group E"/>
    <x v="0"/>
    <s v="free/reduced"/>
    <x v="0"/>
    <n v="58"/>
    <n v="56"/>
    <n v="49"/>
    <n v="54.333333333333336"/>
    <x v="1"/>
    <x v="0"/>
  </r>
  <r>
    <s v="female"/>
    <s v="group C"/>
    <x v="2"/>
    <s v="free/reduced"/>
    <x v="0"/>
    <n v="59"/>
    <n v="83"/>
    <n v="81"/>
    <n v="74.333333333333329"/>
    <x v="0"/>
    <x v="0"/>
  </r>
  <r>
    <s v="female"/>
    <s v="group C"/>
    <x v="0"/>
    <s v="standard"/>
    <x v="1"/>
    <n v="40"/>
    <n v="58"/>
    <n v="54"/>
    <n v="50.666666666666664"/>
    <x v="1"/>
    <x v="0"/>
  </r>
  <r>
    <s v="male"/>
    <s v="group D"/>
    <x v="3"/>
    <s v="standard"/>
    <x v="0"/>
    <n v="82"/>
    <n v="83"/>
    <n v="85"/>
    <n v="83.333333333333329"/>
    <x v="2"/>
    <x v="0"/>
  </r>
  <r>
    <s v="male"/>
    <s v="group E"/>
    <x v="1"/>
    <s v="standard"/>
    <x v="1"/>
    <n v="87"/>
    <n v="84"/>
    <n v="80"/>
    <n v="83.666666666666671"/>
    <x v="2"/>
    <x v="0"/>
  </r>
  <r>
    <s v="female"/>
    <s v="group C"/>
    <x v="1"/>
    <s v="standard"/>
    <x v="1"/>
    <n v="62"/>
    <n v="65"/>
    <n v="64"/>
    <n v="63.666666666666664"/>
    <x v="0"/>
    <x v="0"/>
  </r>
  <r>
    <s v="male"/>
    <s v="group B"/>
    <x v="3"/>
    <s v="free/reduced"/>
    <x v="0"/>
    <n v="76"/>
    <n v="80"/>
    <n v="78"/>
    <n v="78"/>
    <x v="0"/>
    <x v="0"/>
  </r>
  <r>
    <s v="female"/>
    <s v="group A"/>
    <x v="0"/>
    <s v="standard"/>
    <x v="1"/>
    <n v="63"/>
    <n v="69"/>
    <n v="60"/>
    <n v="64"/>
    <x v="0"/>
    <x v="0"/>
  </r>
  <r>
    <s v="male"/>
    <s v="group D"/>
    <x v="2"/>
    <s v="free/reduced"/>
    <x v="0"/>
    <n v="58"/>
    <n v="60"/>
    <n v="59"/>
    <n v="59"/>
    <x v="1"/>
    <x v="0"/>
  </r>
  <r>
    <s v="male"/>
    <s v="group D"/>
    <x v="3"/>
    <s v="standard"/>
    <x v="0"/>
    <n v="61"/>
    <n v="63"/>
    <n v="65"/>
    <n v="63"/>
    <x v="0"/>
    <x v="0"/>
  </r>
  <r>
    <s v="male"/>
    <s v="group C"/>
    <x v="2"/>
    <s v="standard"/>
    <x v="1"/>
    <n v="78"/>
    <n v="69"/>
    <n v="71"/>
    <n v="72.666666666666671"/>
    <x v="0"/>
    <x v="0"/>
  </r>
  <r>
    <s v="female"/>
    <s v="group C"/>
    <x v="4"/>
    <s v="free/reduced"/>
    <x v="0"/>
    <n v="78"/>
    <n v="90"/>
    <n v="81"/>
    <n v="83"/>
    <x v="2"/>
    <x v="0"/>
  </r>
  <r>
    <s v="male"/>
    <s v="group C"/>
    <x v="2"/>
    <s v="standard"/>
    <x v="1"/>
    <n v="56"/>
    <n v="54"/>
    <n v="43"/>
    <n v="51"/>
    <x v="1"/>
    <x v="0"/>
  </r>
  <r>
    <s v="male"/>
    <s v="group D"/>
    <x v="1"/>
    <s v="standard"/>
    <x v="1"/>
    <n v="96"/>
    <n v="83"/>
    <n v="82"/>
    <n v="87"/>
    <x v="2"/>
    <x v="0"/>
  </r>
  <r>
    <s v="male"/>
    <s v="group C"/>
    <x v="0"/>
    <s v="standard"/>
    <x v="1"/>
    <n v="48"/>
    <n v="43"/>
    <n v="40"/>
    <n v="43.666666666666664"/>
    <x v="1"/>
    <x v="0"/>
  </r>
  <r>
    <s v="male"/>
    <s v="group C"/>
    <x v="3"/>
    <s v="standard"/>
    <x v="0"/>
    <n v="70"/>
    <n v="76"/>
    <n v="72"/>
    <n v="72.666666666666671"/>
    <x v="0"/>
    <x v="0"/>
  </r>
  <r>
    <s v="male"/>
    <s v="group D"/>
    <x v="2"/>
    <s v="free/reduced"/>
    <x v="1"/>
    <n v="43"/>
    <n v="68"/>
    <n v="58"/>
    <n v="56.333333333333336"/>
    <x v="1"/>
    <x v="0"/>
  </r>
  <r>
    <s v="female"/>
    <s v="group E"/>
    <x v="0"/>
    <s v="free/reduced"/>
    <x v="1"/>
    <n v="45"/>
    <n v="46"/>
    <n v="49"/>
    <n v="46.666666666666664"/>
    <x v="1"/>
    <x v="0"/>
  </r>
  <r>
    <s v="female"/>
    <s v="group C"/>
    <x v="3"/>
    <s v="standard"/>
    <x v="1"/>
    <n v="58"/>
    <n v="68"/>
    <n v="62"/>
    <n v="62.666666666666664"/>
    <x v="0"/>
    <x v="0"/>
  </r>
  <r>
    <s v="female"/>
    <s v="group A"/>
    <x v="0"/>
    <s v="standard"/>
    <x v="0"/>
    <n v="70"/>
    <n v="73"/>
    <n v="80"/>
    <n v="74.333333333333329"/>
    <x v="0"/>
    <x v="0"/>
  </r>
  <r>
    <s v="female"/>
    <s v="group E"/>
    <x v="1"/>
    <s v="standard"/>
    <x v="1"/>
    <n v="60"/>
    <n v="61"/>
    <n v="58"/>
    <n v="59.666666666666664"/>
    <x v="1"/>
    <x v="0"/>
  </r>
  <r>
    <s v="male"/>
    <s v="group C"/>
    <x v="1"/>
    <s v="free/reduced"/>
    <x v="1"/>
    <n v="52"/>
    <n v="53"/>
    <n v="47"/>
    <n v="50.666666666666664"/>
    <x v="1"/>
    <x v="0"/>
  </r>
  <r>
    <s v="male"/>
    <s v="group C"/>
    <x v="3"/>
    <s v="free/reduced"/>
    <x v="1"/>
    <n v="61"/>
    <n v="62"/>
    <n v="54"/>
    <n v="59"/>
    <x v="1"/>
    <x v="0"/>
  </r>
  <r>
    <s v="female"/>
    <s v="group D"/>
    <x v="1"/>
    <s v="standard"/>
    <x v="1"/>
    <n v="55"/>
    <n v="70"/>
    <n v="61"/>
    <n v="62"/>
    <x v="0"/>
    <x v="0"/>
  </r>
  <r>
    <s v="male"/>
    <s v="group B"/>
    <x v="0"/>
    <s v="standard"/>
    <x v="0"/>
    <n v="80"/>
    <n v="80"/>
    <n v="79"/>
    <n v="79.666666666666671"/>
    <x v="0"/>
    <x v="0"/>
  </r>
  <r>
    <s v="male"/>
    <s v="group D"/>
    <x v="2"/>
    <s v="free/reduced"/>
    <x v="1"/>
    <n v="63"/>
    <n v="60"/>
    <n v="54"/>
    <n v="59"/>
    <x v="1"/>
    <x v="0"/>
  </r>
  <r>
    <s v="female"/>
    <s v="group B"/>
    <x v="5"/>
    <s v="standard"/>
    <x v="1"/>
    <n v="79"/>
    <n v="79"/>
    <n v="87"/>
    <n v="81.666666666666671"/>
    <x v="2"/>
    <x v="0"/>
  </r>
  <r>
    <s v="male"/>
    <s v="group A"/>
    <x v="3"/>
    <s v="standard"/>
    <x v="1"/>
    <n v="74"/>
    <n v="78"/>
    <n v="72"/>
    <n v="74.666666666666671"/>
    <x v="0"/>
    <x v="0"/>
  </r>
  <r>
    <s v="female"/>
    <s v="group B"/>
    <x v="2"/>
    <s v="free/reduced"/>
    <x v="0"/>
    <n v="46"/>
    <n v="58"/>
    <n v="64"/>
    <n v="56"/>
    <x v="1"/>
    <x v="0"/>
  </r>
  <r>
    <s v="female"/>
    <s v="group B"/>
    <x v="1"/>
    <s v="standard"/>
    <x v="0"/>
    <n v="72"/>
    <n v="88"/>
    <n v="92"/>
    <n v="84"/>
    <x v="2"/>
    <x v="0"/>
  </r>
  <r>
    <s v="female"/>
    <s v="group E"/>
    <x v="1"/>
    <s v="free/reduced"/>
    <x v="1"/>
    <n v="58"/>
    <n v="64"/>
    <n v="64"/>
    <n v="62"/>
    <x v="0"/>
    <x v="0"/>
  </r>
  <r>
    <s v="female"/>
    <s v="group E"/>
    <x v="5"/>
    <s v="standard"/>
    <x v="1"/>
    <n v="47"/>
    <n v="50"/>
    <n v="47"/>
    <n v="48"/>
    <x v="1"/>
    <x v="0"/>
  </r>
  <r>
    <s v="female"/>
    <s v="group D"/>
    <x v="4"/>
    <s v="standard"/>
    <x v="0"/>
    <n v="68"/>
    <n v="78"/>
    <n v="84"/>
    <n v="76.666666666666671"/>
    <x v="0"/>
    <x v="0"/>
  </r>
  <r>
    <s v="male"/>
    <s v="group D"/>
    <x v="4"/>
    <s v="free/reduced"/>
    <x v="0"/>
    <n v="68"/>
    <n v="71"/>
    <n v="67"/>
    <n v="68.666666666666671"/>
    <x v="0"/>
    <x v="0"/>
  </r>
  <r>
    <s v="female"/>
    <s v="group D"/>
    <x v="0"/>
    <s v="standard"/>
    <x v="1"/>
    <n v="65"/>
    <n v="75"/>
    <n v="68"/>
    <n v="69.333333333333329"/>
    <x v="0"/>
    <x v="0"/>
  </r>
  <r>
    <s v="female"/>
    <s v="group B"/>
    <x v="3"/>
    <s v="standard"/>
    <x v="1"/>
    <n v="50"/>
    <n v="54"/>
    <n v="51"/>
    <n v="51.666666666666664"/>
    <x v="1"/>
    <x v="0"/>
  </r>
  <r>
    <s v="female"/>
    <s v="group B"/>
    <x v="0"/>
    <s v="free/reduced"/>
    <x v="0"/>
    <n v="48"/>
    <n v="71"/>
    <n v="68"/>
    <n v="62.333333333333336"/>
    <x v="0"/>
    <x v="0"/>
  </r>
  <r>
    <s v="female"/>
    <s v="group B"/>
    <x v="4"/>
    <s v="standard"/>
    <x v="1"/>
    <n v="58"/>
    <n v="60"/>
    <n v="64"/>
    <n v="60.666666666666664"/>
    <x v="0"/>
    <x v="0"/>
  </r>
  <r>
    <s v="male"/>
    <s v="group C"/>
    <x v="1"/>
    <s v="free/reduced"/>
    <x v="0"/>
    <n v="71"/>
    <n v="74"/>
    <n v="68"/>
    <n v="71"/>
    <x v="0"/>
    <x v="0"/>
  </r>
  <r>
    <s v="male"/>
    <s v="group D"/>
    <x v="1"/>
    <s v="free/reduced"/>
    <x v="0"/>
    <n v="58"/>
    <n v="52"/>
    <n v="48"/>
    <n v="52.666666666666664"/>
    <x v="1"/>
    <x v="0"/>
  </r>
  <r>
    <s v="female"/>
    <s v="group A"/>
    <x v="2"/>
    <s v="free/reduced"/>
    <x v="1"/>
    <n v="66"/>
    <n v="90"/>
    <n v="83"/>
    <n v="79.666666666666671"/>
    <x v="0"/>
    <x v="0"/>
  </r>
  <r>
    <s v="male"/>
    <s v="group C"/>
    <x v="2"/>
    <s v="free/reduced"/>
    <x v="1"/>
    <n v="44"/>
    <n v="53"/>
    <n v="43"/>
    <n v="46.666666666666664"/>
    <x v="1"/>
    <x v="0"/>
  </r>
  <r>
    <s v="female"/>
    <s v="group B"/>
    <x v="1"/>
    <s v="standard"/>
    <x v="0"/>
    <n v="51"/>
    <n v="63"/>
    <n v="66"/>
    <n v="60"/>
    <x v="0"/>
    <x v="0"/>
  </r>
  <r>
    <s v="male"/>
    <s v="group A"/>
    <x v="2"/>
    <s v="standard"/>
    <x v="0"/>
    <n v="78"/>
    <n v="83"/>
    <n v="77"/>
    <n v="79.333333333333329"/>
    <x v="0"/>
    <x v="0"/>
  </r>
  <r>
    <s v="male"/>
    <s v="group C"/>
    <x v="0"/>
    <s v="standard"/>
    <x v="1"/>
    <n v="72"/>
    <n v="71"/>
    <n v="65"/>
    <n v="69.333333333333329"/>
    <x v="0"/>
    <x v="0"/>
  </r>
  <r>
    <s v="female"/>
    <s v="group D"/>
    <x v="3"/>
    <s v="standard"/>
    <x v="1"/>
    <n v="60"/>
    <n v="64"/>
    <n v="67"/>
    <n v="63.666666666666664"/>
    <x v="0"/>
    <x v="0"/>
  </r>
  <r>
    <s v="female"/>
    <s v="group C"/>
    <x v="3"/>
    <s v="free/reduced"/>
    <x v="1"/>
    <n v="55"/>
    <n v="61"/>
    <n v="60"/>
    <n v="58.666666666666664"/>
    <x v="1"/>
    <x v="0"/>
  </r>
  <r>
    <s v="male"/>
    <s v="group B"/>
    <x v="1"/>
    <s v="standard"/>
    <x v="1"/>
    <n v="64"/>
    <n v="67"/>
    <n v="64"/>
    <n v="65"/>
    <x v="0"/>
    <x v="0"/>
  </r>
  <r>
    <s v="female"/>
    <s v="group C"/>
    <x v="1"/>
    <s v="free/reduced"/>
    <x v="1"/>
    <n v="57"/>
    <n v="64"/>
    <n v="60"/>
    <n v="60.333333333333336"/>
    <x v="0"/>
    <x v="0"/>
  </r>
  <r>
    <s v="female"/>
    <s v="group A"/>
    <x v="0"/>
    <s v="standard"/>
    <x v="1"/>
    <n v="70"/>
    <n v="75"/>
    <n v="74"/>
    <n v="73"/>
    <x v="0"/>
    <x v="0"/>
  </r>
  <r>
    <s v="male"/>
    <s v="group D"/>
    <x v="1"/>
    <s v="standard"/>
    <x v="0"/>
    <n v="84"/>
    <n v="72"/>
    <n v="76"/>
    <n v="77.333333333333329"/>
    <x v="0"/>
    <x v="0"/>
  </r>
  <r>
    <s v="female"/>
    <s v="group B"/>
    <x v="2"/>
    <s v="standard"/>
    <x v="0"/>
    <n v="66"/>
    <n v="71"/>
    <n v="76"/>
    <n v="71"/>
    <x v="0"/>
    <x v="0"/>
  </r>
  <r>
    <s v="female"/>
    <s v="group C"/>
    <x v="4"/>
    <s v="free/reduced"/>
    <x v="0"/>
    <n v="56"/>
    <n v="65"/>
    <n v="73"/>
    <n v="64.666666666666671"/>
    <x v="0"/>
    <x v="0"/>
  </r>
  <r>
    <s v="male"/>
    <s v="group E"/>
    <x v="2"/>
    <s v="free/reduced"/>
    <x v="0"/>
    <n v="59"/>
    <n v="53"/>
    <n v="56"/>
    <n v="56"/>
    <x v="1"/>
    <x v="0"/>
  </r>
  <r>
    <s v="female"/>
    <s v="group E"/>
    <x v="4"/>
    <s v="standard"/>
    <x v="1"/>
    <n v="87"/>
    <n v="89"/>
    <n v="84"/>
    <n v="86.666666666666671"/>
    <x v="2"/>
    <x v="0"/>
  </r>
  <r>
    <s v="male"/>
    <s v="group E"/>
    <x v="0"/>
    <s v="free/reduced"/>
    <x v="1"/>
    <n v="73"/>
    <n v="75"/>
    <n v="64"/>
    <n v="70.666666666666671"/>
    <x v="0"/>
    <x v="0"/>
  </r>
  <r>
    <s v="female"/>
    <s v="group A"/>
    <x v="0"/>
    <s v="standard"/>
    <x v="1"/>
    <n v="85"/>
    <n v="91"/>
    <n v="89"/>
    <n v="88.333333333333329"/>
    <x v="2"/>
    <x v="0"/>
  </r>
  <r>
    <s v="male"/>
    <s v="group B"/>
    <x v="2"/>
    <s v="free/reduced"/>
    <x v="1"/>
    <n v="49"/>
    <n v="54"/>
    <n v="42"/>
    <n v="48.333333333333336"/>
    <x v="1"/>
    <x v="0"/>
  </r>
  <r>
    <s v="female"/>
    <s v="group C"/>
    <x v="4"/>
    <s v="standard"/>
    <x v="0"/>
    <n v="82"/>
    <n v="87"/>
    <n v="90"/>
    <n v="86.333333333333329"/>
    <x v="2"/>
    <x v="0"/>
  </r>
  <r>
    <s v="female"/>
    <s v="group D"/>
    <x v="2"/>
    <s v="standard"/>
    <x v="1"/>
    <n v="80"/>
    <n v="90"/>
    <n v="90"/>
    <n v="86.666666666666671"/>
    <x v="2"/>
    <x v="0"/>
  </r>
  <r>
    <s v="female"/>
    <s v="group E"/>
    <x v="0"/>
    <s v="standard"/>
    <x v="1"/>
    <n v="48"/>
    <n v="51"/>
    <n v="43"/>
    <n v="47.333333333333336"/>
    <x v="1"/>
    <x v="0"/>
  </r>
  <r>
    <s v="female"/>
    <s v="group D"/>
    <x v="0"/>
    <s v="standard"/>
    <x v="0"/>
    <n v="85"/>
    <n v="83"/>
    <n v="94"/>
    <n v="87.333333333333329"/>
    <x v="2"/>
    <x v="0"/>
  </r>
  <r>
    <s v="female"/>
    <s v="group E"/>
    <x v="1"/>
    <s v="standard"/>
    <x v="0"/>
    <n v="70"/>
    <n v="78"/>
    <n v="76"/>
    <n v="74.666666666666671"/>
    <x v="0"/>
    <x v="0"/>
  </r>
  <r>
    <s v="male"/>
    <s v="group E"/>
    <x v="3"/>
    <s v="standard"/>
    <x v="0"/>
    <n v="89"/>
    <n v="84"/>
    <n v="81"/>
    <n v="84.666666666666671"/>
    <x v="2"/>
    <x v="0"/>
  </r>
  <r>
    <s v="female"/>
    <s v="group D"/>
    <x v="0"/>
    <s v="standard"/>
    <x v="0"/>
    <n v="72"/>
    <n v="86"/>
    <n v="79"/>
    <n v="79"/>
    <x v="0"/>
    <x v="0"/>
  </r>
  <r>
    <s v="female"/>
    <s v="group D"/>
    <x v="1"/>
    <s v="free/reduced"/>
    <x v="1"/>
    <n v="80"/>
    <n v="86"/>
    <n v="87"/>
    <n v="84.333333333333329"/>
    <x v="2"/>
    <x v="0"/>
  </r>
  <r>
    <s v="female"/>
    <s v="group D"/>
    <x v="1"/>
    <s v="free/reduced"/>
    <x v="1"/>
    <n v="43"/>
    <n v="57"/>
    <n v="50"/>
    <n v="50"/>
    <x v="1"/>
    <x v="0"/>
  </r>
  <r>
    <s v="male"/>
    <s v="group C"/>
    <x v="1"/>
    <s v="free/reduced"/>
    <x v="0"/>
    <n v="54"/>
    <n v="61"/>
    <n v="61"/>
    <n v="58.666666666666664"/>
    <x v="1"/>
    <x v="0"/>
  </r>
  <r>
    <s v="male"/>
    <s v="group A"/>
    <x v="3"/>
    <s v="free/reduced"/>
    <x v="0"/>
    <n v="82"/>
    <n v="82"/>
    <n v="78"/>
    <n v="80.666666666666671"/>
    <x v="2"/>
    <x v="0"/>
  </r>
  <r>
    <s v="male"/>
    <s v="group C"/>
    <x v="4"/>
    <s v="free/reduced"/>
    <x v="1"/>
    <n v="74"/>
    <n v="80"/>
    <n v="78"/>
    <n v="77.333333333333329"/>
    <x v="0"/>
    <x v="0"/>
  </r>
  <r>
    <s v="female"/>
    <s v="group C"/>
    <x v="2"/>
    <s v="standard"/>
    <x v="1"/>
    <n v="63"/>
    <n v="62"/>
    <n v="64"/>
    <n v="63"/>
    <x v="0"/>
    <x v="0"/>
  </r>
  <r>
    <s v="female"/>
    <s v="group C"/>
    <x v="0"/>
    <s v="free/reduced"/>
    <x v="1"/>
    <n v="47"/>
    <n v="56"/>
    <n v="51"/>
    <n v="51.333333333333336"/>
    <x v="1"/>
    <x v="0"/>
  </r>
  <r>
    <s v="female"/>
    <s v="group C"/>
    <x v="2"/>
    <s v="free/reduced"/>
    <x v="1"/>
    <n v="13"/>
    <n v="29"/>
    <n v="23"/>
    <n v="21.666666666666668"/>
    <x v="3"/>
    <x v="1"/>
  </r>
  <r>
    <s v="male"/>
    <s v="group D"/>
    <x v="2"/>
    <s v="free/reduced"/>
    <x v="1"/>
    <n v="67"/>
    <n v="58"/>
    <n v="56"/>
    <n v="60.333333333333336"/>
    <x v="0"/>
    <x v="0"/>
  </r>
  <r>
    <s v="male"/>
    <s v="group C"/>
    <x v="1"/>
    <s v="standard"/>
    <x v="1"/>
    <n v="57"/>
    <n v="59"/>
    <n v="54"/>
    <n v="56.666666666666664"/>
    <x v="1"/>
    <x v="0"/>
  </r>
  <r>
    <s v="female"/>
    <s v="group B"/>
    <x v="1"/>
    <s v="standard"/>
    <x v="1"/>
    <n v="64"/>
    <n v="78"/>
    <n v="83"/>
    <n v="75"/>
    <x v="0"/>
    <x v="0"/>
  </r>
  <r>
    <s v="female"/>
    <s v="group D"/>
    <x v="3"/>
    <s v="standard"/>
    <x v="1"/>
    <n v="85"/>
    <n v="100"/>
    <n v="100"/>
    <n v="95"/>
    <x v="2"/>
    <x v="0"/>
  </r>
  <r>
    <s v="female"/>
    <s v="group B"/>
    <x v="3"/>
    <s v="standard"/>
    <x v="0"/>
    <n v="70"/>
    <n v="80"/>
    <n v="86"/>
    <n v="78.666666666666671"/>
    <x v="0"/>
    <x v="0"/>
  </r>
  <r>
    <s v="male"/>
    <s v="group B"/>
    <x v="4"/>
    <s v="standard"/>
    <x v="0"/>
    <n v="90"/>
    <n v="73"/>
    <n v="83"/>
    <n v="82"/>
    <x v="2"/>
    <x v="0"/>
  </r>
  <r>
    <s v="female"/>
    <s v="group A"/>
    <x v="2"/>
    <s v="free/reduced"/>
    <x v="0"/>
    <n v="53"/>
    <n v="70"/>
    <n v="69"/>
    <n v="64"/>
    <x v="0"/>
    <x v="0"/>
  </r>
  <r>
    <s v="male"/>
    <s v="group C"/>
    <x v="2"/>
    <s v="standard"/>
    <x v="0"/>
    <n v="74"/>
    <n v="73"/>
    <n v="75"/>
    <n v="74"/>
    <x v="0"/>
    <x v="0"/>
  </r>
  <r>
    <s v="male"/>
    <s v="group A"/>
    <x v="3"/>
    <s v="standard"/>
    <x v="0"/>
    <n v="61"/>
    <n v="71"/>
    <n v="67"/>
    <n v="66.333333333333329"/>
    <x v="0"/>
    <x v="0"/>
  </r>
  <r>
    <s v="female"/>
    <s v="group C"/>
    <x v="1"/>
    <s v="standard"/>
    <x v="0"/>
    <n v="55"/>
    <n v="74"/>
    <n v="73"/>
    <n v="67.333333333333329"/>
    <x v="0"/>
    <x v="0"/>
  </r>
  <r>
    <s v="female"/>
    <s v="group B"/>
    <x v="2"/>
    <s v="standard"/>
    <x v="0"/>
    <n v="65"/>
    <n v="63"/>
    <n v="66"/>
    <n v="64.666666666666671"/>
    <x v="0"/>
    <x v="0"/>
  </r>
  <r>
    <s v="female"/>
    <s v="group A"/>
    <x v="0"/>
    <s v="standard"/>
    <x v="1"/>
    <n v="77"/>
    <n v="77"/>
    <n v="79"/>
    <n v="77.666666666666671"/>
    <x v="0"/>
    <x v="0"/>
  </r>
  <r>
    <s v="male"/>
    <s v="group C"/>
    <x v="3"/>
    <s v="standard"/>
    <x v="1"/>
    <n v="74"/>
    <n v="61"/>
    <n v="56"/>
    <n v="63.666666666666664"/>
    <x v="0"/>
    <x v="0"/>
  </r>
  <r>
    <s v="male"/>
    <s v="group D"/>
    <x v="2"/>
    <s v="standard"/>
    <x v="1"/>
    <n v="94"/>
    <n v="92"/>
    <n v="85"/>
    <n v="90.333333333333329"/>
    <x v="2"/>
    <x v="0"/>
  </r>
  <r>
    <s v="female"/>
    <s v="group B"/>
    <x v="3"/>
    <s v="standard"/>
    <x v="0"/>
    <n v="54"/>
    <n v="64"/>
    <n v="68"/>
    <n v="62"/>
    <x v="0"/>
    <x v="0"/>
  </r>
  <r>
    <s v="male"/>
    <s v="group A"/>
    <x v="0"/>
    <s v="standard"/>
    <x v="1"/>
    <n v="52"/>
    <n v="49"/>
    <n v="43"/>
    <n v="48"/>
    <x v="1"/>
    <x v="0"/>
  </r>
  <r>
    <s v="male"/>
    <s v="group D"/>
    <x v="2"/>
    <s v="standard"/>
    <x v="1"/>
    <n v="73"/>
    <n v="75"/>
    <n v="71"/>
    <n v="73"/>
    <x v="0"/>
    <x v="0"/>
  </r>
  <r>
    <s v="male"/>
    <s v="group C"/>
    <x v="0"/>
    <s v="standard"/>
    <x v="1"/>
    <n v="81"/>
    <n v="72"/>
    <n v="58"/>
    <n v="70.333333333333329"/>
    <x v="0"/>
    <x v="0"/>
  </r>
  <r>
    <s v="female"/>
    <s v="group B"/>
    <x v="4"/>
    <s v="free/reduced"/>
    <x v="1"/>
    <n v="62"/>
    <n v="75"/>
    <n v="72"/>
    <n v="69.666666666666671"/>
    <x v="0"/>
    <x v="0"/>
  </r>
  <r>
    <s v="female"/>
    <s v="group C"/>
    <x v="5"/>
    <s v="free/reduced"/>
    <x v="1"/>
    <n v="55"/>
    <n v="60"/>
    <n v="61"/>
    <n v="58.666666666666664"/>
    <x v="1"/>
    <x v="0"/>
  </r>
  <r>
    <s v="male"/>
    <s v="group C"/>
    <x v="1"/>
    <s v="free/reduced"/>
    <x v="0"/>
    <n v="55"/>
    <n v="61"/>
    <n v="61"/>
    <n v="59"/>
    <x v="1"/>
    <x v="0"/>
  </r>
  <r>
    <s v="female"/>
    <s v="group D"/>
    <x v="1"/>
    <s v="standard"/>
    <x v="1"/>
    <n v="61"/>
    <n v="62"/>
    <n v="61"/>
    <n v="61.333333333333336"/>
    <x v="0"/>
    <x v="0"/>
  </r>
  <r>
    <s v="male"/>
    <s v="group E"/>
    <x v="0"/>
    <s v="standard"/>
    <x v="1"/>
    <n v="75"/>
    <n v="70"/>
    <n v="64"/>
    <n v="69.666666666666671"/>
    <x v="0"/>
    <x v="0"/>
  </r>
  <r>
    <s v="male"/>
    <s v="group E"/>
    <x v="2"/>
    <s v="free/reduced"/>
    <x v="1"/>
    <n v="79"/>
    <n v="65"/>
    <n v="59"/>
    <n v="67.666666666666671"/>
    <x v="0"/>
    <x v="0"/>
  </r>
  <r>
    <s v="female"/>
    <s v="group C"/>
    <x v="1"/>
    <s v="standard"/>
    <x v="1"/>
    <n v="70"/>
    <n v="70"/>
    <n v="68"/>
    <n v="69.333333333333329"/>
    <x v="0"/>
    <x v="0"/>
  </r>
  <r>
    <s v="male"/>
    <s v="group A"/>
    <x v="2"/>
    <s v="standard"/>
    <x v="1"/>
    <n v="72"/>
    <n v="65"/>
    <n v="59"/>
    <n v="65.333333333333329"/>
    <x v="0"/>
    <x v="0"/>
  </r>
  <r>
    <s v="female"/>
    <s v="group C"/>
    <x v="1"/>
    <s v="free/reduced"/>
    <x v="1"/>
    <n v="38"/>
    <n v="46"/>
    <n v="33"/>
    <n v="39"/>
    <x v="3"/>
    <x v="1"/>
  </r>
  <r>
    <s v="female"/>
    <s v="group A"/>
    <x v="4"/>
    <s v="standard"/>
    <x v="1"/>
    <n v="57"/>
    <n v="71"/>
    <n v="63"/>
    <n v="63.666666666666664"/>
    <x v="0"/>
    <x v="0"/>
  </r>
  <r>
    <s v="male"/>
    <s v="group D"/>
    <x v="1"/>
    <s v="standard"/>
    <x v="1"/>
    <n v="76"/>
    <n v="71"/>
    <n v="70"/>
    <n v="72.333333333333329"/>
    <x v="0"/>
    <x v="0"/>
  </r>
  <r>
    <s v="male"/>
    <s v="group C"/>
    <x v="2"/>
    <s v="free/reduced"/>
    <x v="1"/>
    <n v="45"/>
    <n v="45"/>
    <n v="38"/>
    <n v="42.666666666666664"/>
    <x v="1"/>
    <x v="0"/>
  </r>
  <r>
    <s v="male"/>
    <s v="group D"/>
    <x v="3"/>
    <s v="standard"/>
    <x v="1"/>
    <n v="77"/>
    <n v="73"/>
    <n v="74"/>
    <n v="74.666666666666671"/>
    <x v="0"/>
    <x v="0"/>
  </r>
  <r>
    <s v="male"/>
    <s v="group C"/>
    <x v="0"/>
    <s v="standard"/>
    <x v="1"/>
    <n v="40"/>
    <n v="39"/>
    <n v="30"/>
    <n v="36.333333333333336"/>
    <x v="3"/>
    <x v="1"/>
  </r>
  <r>
    <s v="female"/>
    <s v="group E"/>
    <x v="2"/>
    <s v="standard"/>
    <x v="1"/>
    <n v="78"/>
    <n v="83"/>
    <n v="78"/>
    <n v="79.666666666666671"/>
    <x v="0"/>
    <x v="0"/>
  </r>
  <r>
    <s v="female"/>
    <s v="group A"/>
    <x v="5"/>
    <s v="free/reduced"/>
    <x v="1"/>
    <n v="63"/>
    <n v="65"/>
    <n v="66"/>
    <n v="64.666666666666671"/>
    <x v="0"/>
    <x v="0"/>
  </r>
  <r>
    <s v="male"/>
    <s v="group C"/>
    <x v="3"/>
    <s v="standard"/>
    <x v="1"/>
    <n v="83"/>
    <n v="70"/>
    <n v="73"/>
    <n v="75.333333333333329"/>
    <x v="0"/>
    <x v="0"/>
  </r>
  <r>
    <s v="male"/>
    <s v="group C"/>
    <x v="3"/>
    <s v="free/reduced"/>
    <x v="1"/>
    <n v="55"/>
    <n v="52"/>
    <n v="47"/>
    <n v="51.333333333333336"/>
    <x v="1"/>
    <x v="0"/>
  </r>
  <r>
    <s v="male"/>
    <s v="group B"/>
    <x v="2"/>
    <s v="standard"/>
    <x v="0"/>
    <n v="88"/>
    <n v="78"/>
    <n v="76"/>
    <n v="80.666666666666671"/>
    <x v="2"/>
    <x v="0"/>
  </r>
  <r>
    <s v="male"/>
    <s v="group C"/>
    <x v="4"/>
    <s v="standard"/>
    <x v="1"/>
    <n v="82"/>
    <n v="83"/>
    <n v="85"/>
    <n v="83.333333333333329"/>
    <x v="2"/>
    <x v="0"/>
  </r>
  <r>
    <s v="male"/>
    <s v="group E"/>
    <x v="4"/>
    <s v="standard"/>
    <x v="1"/>
    <n v="86"/>
    <n v="71"/>
    <n v="71"/>
    <n v="76"/>
    <x v="0"/>
    <x v="0"/>
  </r>
  <r>
    <s v="female"/>
    <s v="group C"/>
    <x v="3"/>
    <s v="free/reduced"/>
    <x v="1"/>
    <n v="61"/>
    <n v="74"/>
    <n v="72"/>
    <n v="69"/>
    <x v="0"/>
    <x v="0"/>
  </r>
  <r>
    <s v="female"/>
    <s v="group D"/>
    <x v="2"/>
    <s v="standard"/>
    <x v="0"/>
    <n v="78"/>
    <n v="85"/>
    <n v="93"/>
    <n v="85.333333333333329"/>
    <x v="2"/>
    <x v="0"/>
  </r>
  <r>
    <s v="male"/>
    <s v="group C"/>
    <x v="3"/>
    <s v="standard"/>
    <x v="1"/>
    <n v="67"/>
    <n v="63"/>
    <n v="66"/>
    <n v="65.333333333333329"/>
    <x v="0"/>
    <x v="0"/>
  </r>
  <r>
    <s v="female"/>
    <s v="group E"/>
    <x v="1"/>
    <s v="standard"/>
    <x v="1"/>
    <n v="83"/>
    <n v="87"/>
    <n v="83"/>
    <n v="84.333333333333329"/>
    <x v="2"/>
    <x v="0"/>
  </r>
  <r>
    <s v="male"/>
    <s v="group C"/>
    <x v="1"/>
    <s v="standard"/>
    <x v="1"/>
    <n v="68"/>
    <n v="74"/>
    <n v="69"/>
    <n v="70.333333333333329"/>
    <x v="0"/>
    <x v="0"/>
  </r>
  <r>
    <s v="male"/>
    <s v="group C"/>
    <x v="2"/>
    <s v="standard"/>
    <x v="1"/>
    <n v="53"/>
    <n v="52"/>
    <n v="44"/>
    <n v="49.666666666666664"/>
    <x v="1"/>
    <x v="0"/>
  </r>
  <r>
    <s v="male"/>
    <s v="group D"/>
    <x v="3"/>
    <s v="standard"/>
    <x v="1"/>
    <n v="91"/>
    <n v="88"/>
    <n v="90"/>
    <n v="89.666666666666671"/>
    <x v="2"/>
    <x v="0"/>
  </r>
  <r>
    <s v="male"/>
    <s v="group B"/>
    <x v="3"/>
    <s v="free/reduced"/>
    <x v="1"/>
    <n v="67"/>
    <n v="66"/>
    <n v="66"/>
    <n v="66.333333333333329"/>
    <x v="0"/>
    <x v="0"/>
  </r>
  <r>
    <s v="female"/>
    <s v="group C"/>
    <x v="0"/>
    <s v="standard"/>
    <x v="0"/>
    <n v="53"/>
    <n v="64"/>
    <n v="62"/>
    <n v="59.666666666666664"/>
    <x v="1"/>
    <x v="0"/>
  </r>
  <r>
    <s v="female"/>
    <s v="group C"/>
    <x v="5"/>
    <s v="standard"/>
    <x v="0"/>
    <n v="86"/>
    <n v="100"/>
    <n v="100"/>
    <n v="95.333333333333329"/>
    <x v="2"/>
    <x v="0"/>
  </r>
  <r>
    <s v="male"/>
    <s v="group E"/>
    <x v="1"/>
    <s v="free/reduced"/>
    <x v="0"/>
    <n v="75"/>
    <n v="70"/>
    <n v="61"/>
    <n v="68.666666666666671"/>
    <x v="0"/>
    <x v="0"/>
  </r>
  <r>
    <s v="male"/>
    <s v="group C"/>
    <x v="2"/>
    <s v="standard"/>
    <x v="1"/>
    <n v="55"/>
    <n v="38"/>
    <n v="35"/>
    <n v="42.666666666666664"/>
    <x v="1"/>
    <x v="0"/>
  </r>
  <r>
    <s v="male"/>
    <s v="group D"/>
    <x v="4"/>
    <s v="standard"/>
    <x v="0"/>
    <n v="93"/>
    <n v="86"/>
    <n v="95"/>
    <n v="91.333333333333329"/>
    <x v="2"/>
    <x v="0"/>
  </r>
  <r>
    <s v="female"/>
    <s v="group E"/>
    <x v="0"/>
    <s v="standard"/>
    <x v="1"/>
    <n v="62"/>
    <n v="71"/>
    <n v="66"/>
    <n v="66.333333333333329"/>
    <x v="0"/>
    <x v="0"/>
  </r>
  <r>
    <s v="male"/>
    <s v="group C"/>
    <x v="2"/>
    <s v="free/reduced"/>
    <x v="1"/>
    <n v="83"/>
    <n v="76"/>
    <n v="71"/>
    <n v="76.666666666666671"/>
    <x v="0"/>
    <x v="0"/>
  </r>
  <r>
    <s v="male"/>
    <s v="group D"/>
    <x v="1"/>
    <s v="standard"/>
    <x v="1"/>
    <n v="73"/>
    <n v="72"/>
    <n v="64"/>
    <n v="69.666666666666671"/>
    <x v="0"/>
    <x v="0"/>
  </r>
  <r>
    <s v="female"/>
    <s v="group C"/>
    <x v="0"/>
    <s v="free/reduced"/>
    <x v="1"/>
    <n v="57"/>
    <n v="52"/>
    <n v="53"/>
    <n v="54"/>
    <x v="1"/>
    <x v="0"/>
  </r>
  <r>
    <s v="female"/>
    <s v="group C"/>
    <x v="2"/>
    <s v="standard"/>
    <x v="1"/>
    <n v="70"/>
    <n v="75"/>
    <n v="75"/>
    <n v="73.333333333333329"/>
    <x v="0"/>
    <x v="0"/>
  </r>
  <r>
    <s v="female"/>
    <s v="group B"/>
    <x v="0"/>
    <s v="standard"/>
    <x v="0"/>
    <n v="55"/>
    <n v="62"/>
    <n v="64"/>
    <n v="60.333333333333336"/>
    <x v="0"/>
    <x v="0"/>
  </r>
  <r>
    <s v="male"/>
    <s v="group C"/>
    <x v="0"/>
    <s v="standard"/>
    <x v="1"/>
    <n v="65"/>
    <n v="56"/>
    <n v="51"/>
    <n v="57.333333333333336"/>
    <x v="1"/>
    <x v="0"/>
  </r>
  <r>
    <s v="female"/>
    <s v="group C"/>
    <x v="1"/>
    <s v="standard"/>
    <x v="0"/>
    <n v="76"/>
    <n v="85"/>
    <n v="88"/>
    <n v="83"/>
    <x v="2"/>
    <x v="0"/>
  </r>
  <r>
    <s v="male"/>
    <s v="group C"/>
    <x v="5"/>
    <s v="free/reduced"/>
    <x v="1"/>
    <n v="59"/>
    <n v="47"/>
    <n v="46"/>
    <n v="50.666666666666664"/>
    <x v="1"/>
    <x v="0"/>
  </r>
  <r>
    <s v="male"/>
    <s v="group C"/>
    <x v="3"/>
    <s v="standard"/>
    <x v="0"/>
    <n v="74"/>
    <n v="73"/>
    <n v="77"/>
    <n v="74.666666666666671"/>
    <x v="0"/>
    <x v="0"/>
  </r>
  <r>
    <s v="male"/>
    <s v="group B"/>
    <x v="1"/>
    <s v="standard"/>
    <x v="1"/>
    <n v="65"/>
    <n v="59"/>
    <n v="60"/>
    <n v="61.333333333333336"/>
    <x v="0"/>
    <x v="0"/>
  </r>
  <r>
    <s v="male"/>
    <s v="group B"/>
    <x v="2"/>
    <s v="standard"/>
    <x v="0"/>
    <n v="89"/>
    <n v="87"/>
    <n v="89"/>
    <n v="88.333333333333329"/>
    <x v="2"/>
    <x v="0"/>
  </r>
  <r>
    <s v="female"/>
    <s v="group B"/>
    <x v="5"/>
    <s v="standard"/>
    <x v="1"/>
    <n v="71"/>
    <n v="82"/>
    <n v="82"/>
    <n v="78.333333333333329"/>
    <x v="0"/>
    <x v="0"/>
  </r>
  <r>
    <s v="male"/>
    <s v="group C"/>
    <x v="2"/>
    <s v="free/reduced"/>
    <x v="0"/>
    <n v="63"/>
    <n v="69"/>
    <n v="59"/>
    <n v="63.666666666666664"/>
    <x v="0"/>
    <x v="0"/>
  </r>
  <r>
    <s v="male"/>
    <s v="group C"/>
    <x v="1"/>
    <s v="standard"/>
    <x v="0"/>
    <n v="57"/>
    <n v="55"/>
    <n v="60"/>
    <n v="57.333333333333336"/>
    <x v="1"/>
    <x v="0"/>
  </r>
  <r>
    <s v="male"/>
    <s v="group B"/>
    <x v="2"/>
    <s v="free/reduced"/>
    <x v="0"/>
    <n v="56"/>
    <n v="67"/>
    <n v="56"/>
    <n v="59.666666666666664"/>
    <x v="1"/>
    <x v="0"/>
  </r>
  <r>
    <s v="male"/>
    <s v="group A"/>
    <x v="1"/>
    <s v="free/reduced"/>
    <x v="0"/>
    <n v="49"/>
    <n v="44"/>
    <n v="41"/>
    <n v="44.666666666666664"/>
    <x v="1"/>
    <x v="0"/>
  </r>
  <r>
    <s v="female"/>
    <s v="group C"/>
    <x v="2"/>
    <s v="free/reduced"/>
    <x v="0"/>
    <n v="28"/>
    <n v="44"/>
    <n v="50"/>
    <n v="40.666666666666664"/>
    <x v="1"/>
    <x v="0"/>
  </r>
  <r>
    <s v="female"/>
    <s v="group C"/>
    <x v="4"/>
    <s v="free/reduced"/>
    <x v="1"/>
    <n v="69"/>
    <n v="73"/>
    <n v="71"/>
    <n v="71"/>
    <x v="0"/>
    <x v="0"/>
  </r>
  <r>
    <s v="female"/>
    <s v="group D"/>
    <x v="1"/>
    <s v="free/reduced"/>
    <x v="1"/>
    <n v="49"/>
    <n v="62"/>
    <n v="60"/>
    <n v="57"/>
    <x v="1"/>
    <x v="0"/>
  </r>
  <r>
    <s v="male"/>
    <s v="group B"/>
    <x v="1"/>
    <s v="standard"/>
    <x v="0"/>
    <n v="67"/>
    <n v="62"/>
    <n v="58"/>
    <n v="62.333333333333336"/>
    <x v="0"/>
    <x v="0"/>
  </r>
  <r>
    <s v="female"/>
    <s v="group B"/>
    <x v="2"/>
    <s v="free/reduced"/>
    <x v="0"/>
    <n v="74"/>
    <n v="85"/>
    <n v="82"/>
    <n v="80.333333333333329"/>
    <x v="2"/>
    <x v="0"/>
  </r>
  <r>
    <s v="female"/>
    <s v="group C"/>
    <x v="4"/>
    <s v="standard"/>
    <x v="0"/>
    <n v="47"/>
    <n v="67"/>
    <n v="63"/>
    <n v="59"/>
    <x v="1"/>
    <x v="0"/>
  </r>
  <r>
    <s v="female"/>
    <s v="group C"/>
    <x v="2"/>
    <s v="standard"/>
    <x v="1"/>
    <n v="63"/>
    <n v="63"/>
    <n v="69"/>
    <n v="65"/>
    <x v="0"/>
    <x v="0"/>
  </r>
  <r>
    <s v="male"/>
    <s v="group C"/>
    <x v="2"/>
    <s v="standard"/>
    <x v="1"/>
    <n v="73"/>
    <n v="51"/>
    <n v="53"/>
    <n v="59"/>
    <x v="1"/>
    <x v="0"/>
  </r>
  <r>
    <s v="female"/>
    <s v="group D"/>
    <x v="2"/>
    <s v="standard"/>
    <x v="1"/>
    <n v="91"/>
    <n v="94"/>
    <n v="96"/>
    <n v="93.666666666666671"/>
    <x v="2"/>
    <x v="0"/>
  </r>
  <r>
    <s v="male"/>
    <s v="group B"/>
    <x v="2"/>
    <s v="standard"/>
    <x v="1"/>
    <n v="80"/>
    <n v="87"/>
    <n v="79"/>
    <n v="82"/>
    <x v="2"/>
    <x v="0"/>
  </r>
  <r>
    <s v="female"/>
    <s v="group C"/>
    <x v="3"/>
    <s v="standard"/>
    <x v="1"/>
    <n v="66"/>
    <n v="73"/>
    <n v="68"/>
    <n v="69"/>
    <x v="0"/>
    <x v="0"/>
  </r>
  <r>
    <s v="male"/>
    <s v="group B"/>
    <x v="2"/>
    <s v="standard"/>
    <x v="1"/>
    <n v="52"/>
    <n v="48"/>
    <n v="43"/>
    <n v="47.666666666666664"/>
    <x v="1"/>
    <x v="0"/>
  </r>
  <r>
    <s v="female"/>
    <s v="group B"/>
    <x v="2"/>
    <s v="standard"/>
    <x v="1"/>
    <n v="65"/>
    <n v="71"/>
    <n v="65"/>
    <n v="67"/>
    <x v="0"/>
    <x v="0"/>
  </r>
  <r>
    <s v="male"/>
    <s v="group D"/>
    <x v="2"/>
    <s v="standard"/>
    <x v="0"/>
    <n v="83"/>
    <n v="75"/>
    <n v="71"/>
    <n v="76.333333333333329"/>
    <x v="0"/>
    <x v="0"/>
  </r>
  <r>
    <s v="female"/>
    <s v="group C"/>
    <x v="1"/>
    <s v="free/reduced"/>
    <x v="1"/>
    <n v="80"/>
    <n v="85"/>
    <n v="78"/>
    <n v="81"/>
    <x v="2"/>
    <x v="0"/>
  </r>
  <r>
    <s v="male"/>
    <s v="group E"/>
    <x v="4"/>
    <s v="free/reduced"/>
    <x v="1"/>
    <n v="68"/>
    <n v="68"/>
    <n v="59"/>
    <n v="65"/>
    <x v="0"/>
    <x v="0"/>
  </r>
  <r>
    <s v="male"/>
    <s v="group C"/>
    <x v="2"/>
    <s v="free/reduced"/>
    <x v="0"/>
    <n v="68"/>
    <n v="73"/>
    <n v="68"/>
    <n v="69.666666666666671"/>
    <x v="0"/>
    <x v="0"/>
  </r>
  <r>
    <s v="male"/>
    <s v="group C"/>
    <x v="3"/>
    <s v="free/reduced"/>
    <x v="1"/>
    <n v="62"/>
    <n v="43"/>
    <n v="45"/>
    <n v="50"/>
    <x v="1"/>
    <x v="0"/>
  </r>
  <r>
    <s v="female"/>
    <s v="group B"/>
    <x v="1"/>
    <s v="standard"/>
    <x v="1"/>
    <n v="76"/>
    <n v="88"/>
    <n v="84"/>
    <n v="82.666666666666671"/>
    <x v="2"/>
    <x v="0"/>
  </r>
  <r>
    <s v="female"/>
    <s v="group C"/>
    <x v="4"/>
    <s v="free/reduced"/>
    <x v="1"/>
    <n v="77"/>
    <n v="79"/>
    <n v="83"/>
    <n v="79.666666666666671"/>
    <x v="0"/>
    <x v="0"/>
  </r>
  <r>
    <s v="female"/>
    <s v="group E"/>
    <x v="5"/>
    <s v="free/reduced"/>
    <x v="1"/>
    <n v="83"/>
    <n v="81"/>
    <n v="83"/>
    <n v="82.333333333333329"/>
    <x v="2"/>
    <x v="0"/>
  </r>
  <r>
    <s v="female"/>
    <s v="group C"/>
    <x v="2"/>
    <s v="free/reduced"/>
    <x v="1"/>
    <n v="71"/>
    <n v="78"/>
    <n v="82"/>
    <n v="77"/>
    <x v="0"/>
    <x v="0"/>
  </r>
  <r>
    <s v="male"/>
    <s v="group D"/>
    <x v="2"/>
    <s v="free/reduced"/>
    <x v="0"/>
    <n v="86"/>
    <n v="91"/>
    <n v="89"/>
    <n v="88.666666666666671"/>
    <x v="2"/>
    <x v="0"/>
  </r>
  <r>
    <s v="male"/>
    <s v="group B"/>
    <x v="5"/>
    <s v="standard"/>
    <x v="1"/>
    <n v="93"/>
    <n v="96"/>
    <n v="96"/>
    <n v="95"/>
    <x v="2"/>
    <x v="0"/>
  </r>
  <r>
    <s v="female"/>
    <s v="group B"/>
    <x v="3"/>
    <s v="free/reduced"/>
    <x v="1"/>
    <n v="60"/>
    <n v="64"/>
    <n v="60"/>
    <n v="61.333333333333336"/>
    <x v="0"/>
    <x v="0"/>
  </r>
  <r>
    <s v="female"/>
    <s v="group D"/>
    <x v="1"/>
    <s v="standard"/>
    <x v="1"/>
    <n v="57"/>
    <n v="56"/>
    <n v="58"/>
    <n v="57"/>
    <x v="1"/>
    <x v="0"/>
  </r>
  <r>
    <s v="male"/>
    <s v="group C"/>
    <x v="4"/>
    <s v="standard"/>
    <x v="1"/>
    <n v="84"/>
    <n v="79"/>
    <n v="74"/>
    <n v="79"/>
    <x v="0"/>
    <x v="0"/>
  </r>
  <r>
    <s v="female"/>
    <s v="group D"/>
    <x v="4"/>
    <s v="standard"/>
    <x v="1"/>
    <n v="66"/>
    <n v="71"/>
    <n v="75"/>
    <n v="70.666666666666671"/>
    <x v="0"/>
    <x v="0"/>
  </r>
  <r>
    <s v="male"/>
    <s v="group D"/>
    <x v="5"/>
    <s v="standard"/>
    <x v="1"/>
    <n v="85"/>
    <n v="69"/>
    <n v="74"/>
    <n v="76"/>
    <x v="0"/>
    <x v="0"/>
  </r>
  <r>
    <s v="female"/>
    <s v="group D"/>
    <x v="5"/>
    <s v="standard"/>
    <x v="0"/>
    <n v="57"/>
    <n v="68"/>
    <n v="76"/>
    <n v="67"/>
    <x v="0"/>
    <x v="0"/>
  </r>
  <r>
    <s v="female"/>
    <s v="group C"/>
    <x v="1"/>
    <s v="standard"/>
    <x v="1"/>
    <n v="41"/>
    <n v="49"/>
    <n v="49"/>
    <n v="46.333333333333336"/>
    <x v="1"/>
    <x v="0"/>
  </r>
  <r>
    <s v="female"/>
    <s v="group C"/>
    <x v="1"/>
    <s v="standard"/>
    <x v="1"/>
    <n v="75"/>
    <n v="76"/>
    <n v="76"/>
    <n v="75.666666666666671"/>
    <x v="0"/>
    <x v="0"/>
  </r>
  <r>
    <s v="male"/>
    <s v="group D"/>
    <x v="0"/>
    <s v="free/reduced"/>
    <x v="1"/>
    <n v="65"/>
    <n v="63"/>
    <n v="60"/>
    <n v="62.666666666666664"/>
    <x v="0"/>
    <x v="0"/>
  </r>
  <r>
    <s v="male"/>
    <s v="group E"/>
    <x v="2"/>
    <s v="standard"/>
    <x v="1"/>
    <n v="78"/>
    <n v="65"/>
    <n v="60"/>
    <n v="67.666666666666671"/>
    <x v="0"/>
    <x v="0"/>
  </r>
  <r>
    <s v="female"/>
    <s v="group B"/>
    <x v="1"/>
    <s v="free/reduced"/>
    <x v="1"/>
    <n v="26"/>
    <n v="34"/>
    <n v="28"/>
    <n v="29.333333333333332"/>
    <x v="3"/>
    <x v="1"/>
  </r>
  <r>
    <s v="male"/>
    <s v="group E"/>
    <x v="2"/>
    <s v="free/reduced"/>
    <x v="1"/>
    <n v="71"/>
    <n v="64"/>
    <n v="66"/>
    <n v="67"/>
    <x v="0"/>
    <x v="0"/>
  </r>
  <r>
    <s v="male"/>
    <s v="group B"/>
    <x v="4"/>
    <s v="standard"/>
    <x v="0"/>
    <n v="86"/>
    <n v="92"/>
    <n v="93"/>
    <n v="90.333333333333329"/>
    <x v="2"/>
    <x v="0"/>
  </r>
  <r>
    <s v="male"/>
    <s v="group B"/>
    <x v="3"/>
    <s v="standard"/>
    <x v="0"/>
    <n v="89"/>
    <n v="84"/>
    <n v="81"/>
    <n v="84.666666666666671"/>
    <x v="2"/>
    <x v="0"/>
  </r>
  <r>
    <s v="female"/>
    <s v="group B"/>
    <x v="0"/>
    <s v="free/reduced"/>
    <x v="1"/>
    <n v="53"/>
    <n v="64"/>
    <n v="63"/>
    <n v="60"/>
    <x v="0"/>
    <x v="0"/>
  </r>
  <r>
    <s v="female"/>
    <s v="group C"/>
    <x v="3"/>
    <s v="standard"/>
    <x v="1"/>
    <n v="87"/>
    <n v="87"/>
    <n v="92"/>
    <n v="88.666666666666671"/>
    <x v="2"/>
    <x v="0"/>
  </r>
  <r>
    <s v="male"/>
    <s v="group D"/>
    <x v="3"/>
    <s v="standard"/>
    <x v="1"/>
    <n v="71"/>
    <n v="57"/>
    <n v="59"/>
    <n v="62.333333333333336"/>
    <x v="0"/>
    <x v="0"/>
  </r>
  <r>
    <s v="male"/>
    <s v="group D"/>
    <x v="0"/>
    <s v="standard"/>
    <x v="1"/>
    <n v="77"/>
    <n v="80"/>
    <n v="72"/>
    <n v="76.333333333333329"/>
    <x v="0"/>
    <x v="0"/>
  </r>
  <r>
    <s v="female"/>
    <s v="group C"/>
    <x v="0"/>
    <s v="free/reduced"/>
    <x v="0"/>
    <n v="43"/>
    <n v="48"/>
    <n v="53"/>
    <n v="48"/>
    <x v="1"/>
    <x v="0"/>
  </r>
  <r>
    <s v="female"/>
    <s v="group C"/>
    <x v="3"/>
    <s v="standard"/>
    <x v="1"/>
    <n v="88"/>
    <n v="91"/>
    <n v="86"/>
    <n v="88.333333333333329"/>
    <x v="2"/>
    <x v="0"/>
  </r>
  <r>
    <s v="male"/>
    <s v="group E"/>
    <x v="1"/>
    <s v="standard"/>
    <x v="1"/>
    <n v="86"/>
    <n v="76"/>
    <n v="63"/>
    <n v="75"/>
    <x v="0"/>
    <x v="0"/>
  </r>
  <r>
    <s v="female"/>
    <s v="group E"/>
    <x v="1"/>
    <s v="free/reduced"/>
    <x v="0"/>
    <n v="45"/>
    <n v="56"/>
    <n v="55"/>
    <n v="52"/>
    <x v="1"/>
    <x v="0"/>
  </r>
  <r>
    <s v="male"/>
    <s v="group C"/>
    <x v="2"/>
    <s v="standard"/>
    <x v="1"/>
    <n v="69"/>
    <n v="56"/>
    <n v="57"/>
    <n v="60.666666666666664"/>
    <x v="0"/>
    <x v="0"/>
  </r>
  <r>
    <s v="female"/>
    <s v="group D"/>
    <x v="0"/>
    <s v="standard"/>
    <x v="1"/>
    <n v="65"/>
    <n v="70"/>
    <n v="72"/>
    <n v="69"/>
    <x v="0"/>
    <x v="0"/>
  </r>
  <r>
    <s v="male"/>
    <s v="group E"/>
    <x v="2"/>
    <s v="free/reduced"/>
    <x v="1"/>
    <n v="81"/>
    <n v="79"/>
    <n v="71"/>
    <n v="77"/>
    <x v="0"/>
    <x v="0"/>
  </r>
  <r>
    <s v="female"/>
    <s v="group A"/>
    <x v="1"/>
    <s v="standard"/>
    <x v="1"/>
    <n v="90"/>
    <n v="88"/>
    <n v="86"/>
    <n v="88"/>
    <x v="2"/>
    <x v="0"/>
  </r>
  <r>
    <s v="female"/>
    <s v="group E"/>
    <x v="3"/>
    <s v="standard"/>
    <x v="1"/>
    <n v="78"/>
    <n v="72"/>
    <n v="71"/>
    <n v="73.666666666666671"/>
    <x v="0"/>
    <x v="0"/>
  </r>
  <r>
    <s v="female"/>
    <s v="group C"/>
    <x v="5"/>
    <s v="standard"/>
    <x v="0"/>
    <n v="71"/>
    <n v="79"/>
    <n v="89"/>
    <n v="79.666666666666671"/>
    <x v="0"/>
    <x v="0"/>
  </r>
  <r>
    <s v="female"/>
    <s v="group C"/>
    <x v="1"/>
    <s v="standard"/>
    <x v="1"/>
    <n v="75"/>
    <n v="80"/>
    <n v="72"/>
    <n v="75.666666666666671"/>
    <x v="0"/>
    <x v="0"/>
  </r>
  <r>
    <s v="male"/>
    <s v="group C"/>
    <x v="4"/>
    <s v="free/reduced"/>
    <x v="1"/>
    <n v="70"/>
    <n v="60"/>
    <n v="56"/>
    <n v="62"/>
    <x v="0"/>
    <x v="0"/>
  </r>
  <r>
    <s v="male"/>
    <s v="group B"/>
    <x v="3"/>
    <s v="standard"/>
    <x v="1"/>
    <n v="54"/>
    <n v="52"/>
    <n v="48"/>
    <n v="51.333333333333336"/>
    <x v="1"/>
    <x v="0"/>
  </r>
  <r>
    <s v="male"/>
    <s v="group B"/>
    <x v="0"/>
    <s v="standard"/>
    <x v="1"/>
    <n v="49"/>
    <n v="36"/>
    <n v="32"/>
    <n v="39"/>
    <x v="3"/>
    <x v="1"/>
  </r>
  <r>
    <s v="male"/>
    <s v="group B"/>
    <x v="3"/>
    <s v="free/reduced"/>
    <x v="0"/>
    <n v="80"/>
    <n v="82"/>
    <n v="82"/>
    <n v="81.333333333333329"/>
    <x v="2"/>
    <x v="0"/>
  </r>
  <r>
    <s v="female"/>
    <s v="group E"/>
    <x v="4"/>
    <s v="standard"/>
    <x v="1"/>
    <n v="78"/>
    <n v="89"/>
    <n v="93"/>
    <n v="86.666666666666671"/>
    <x v="2"/>
    <x v="0"/>
  </r>
  <r>
    <s v="male"/>
    <s v="group C"/>
    <x v="4"/>
    <s v="standard"/>
    <x v="1"/>
    <n v="89"/>
    <n v="77"/>
    <n v="82"/>
    <n v="82.666666666666671"/>
    <x v="2"/>
    <x v="0"/>
  </r>
  <r>
    <s v="female"/>
    <s v="group C"/>
    <x v="4"/>
    <s v="standard"/>
    <x v="0"/>
    <n v="65"/>
    <n v="83"/>
    <n v="82"/>
    <n v="76.666666666666671"/>
    <x v="0"/>
    <x v="0"/>
  </r>
  <r>
    <s v="male"/>
    <s v="group D"/>
    <x v="3"/>
    <s v="standard"/>
    <x v="1"/>
    <n v="78"/>
    <n v="74"/>
    <n v="71"/>
    <n v="74.333333333333329"/>
    <x v="0"/>
    <x v="0"/>
  </r>
  <r>
    <s v="female"/>
    <s v="group D"/>
    <x v="0"/>
    <s v="standard"/>
    <x v="1"/>
    <n v="69"/>
    <n v="85"/>
    <n v="78"/>
    <n v="77.333333333333329"/>
    <x v="0"/>
    <x v="0"/>
  </r>
  <r>
    <s v="male"/>
    <s v="group D"/>
    <x v="2"/>
    <s v="free/reduced"/>
    <x v="1"/>
    <n v="49"/>
    <n v="47"/>
    <n v="48"/>
    <n v="48"/>
    <x v="1"/>
    <x v="0"/>
  </r>
  <r>
    <s v="female"/>
    <s v="group D"/>
    <x v="5"/>
    <s v="free/reduced"/>
    <x v="1"/>
    <n v="50"/>
    <n v="64"/>
    <n v="66"/>
    <n v="60"/>
    <x v="0"/>
    <x v="0"/>
  </r>
  <r>
    <s v="female"/>
    <s v="group E"/>
    <x v="2"/>
    <s v="standard"/>
    <x v="1"/>
    <n v="79"/>
    <n v="76"/>
    <n v="71"/>
    <n v="75.333333333333329"/>
    <x v="0"/>
    <x v="0"/>
  </r>
  <r>
    <s v="female"/>
    <s v="group D"/>
    <x v="2"/>
    <s v="standard"/>
    <x v="0"/>
    <n v="89"/>
    <n v="92"/>
    <n v="97"/>
    <n v="92.666666666666671"/>
    <x v="2"/>
    <x v="0"/>
  </r>
  <r>
    <s v="male"/>
    <s v="group A"/>
    <x v="3"/>
    <s v="free/reduced"/>
    <x v="0"/>
    <n v="48"/>
    <n v="61"/>
    <n v="59"/>
    <n v="56"/>
    <x v="1"/>
    <x v="0"/>
  </r>
  <r>
    <s v="female"/>
    <s v="group A"/>
    <x v="4"/>
    <s v="standard"/>
    <x v="1"/>
    <n v="63"/>
    <n v="67"/>
    <n v="71"/>
    <n v="67"/>
    <x v="0"/>
    <x v="0"/>
  </r>
  <r>
    <s v="female"/>
    <s v="group C"/>
    <x v="2"/>
    <s v="standard"/>
    <x v="1"/>
    <n v="88"/>
    <n v="100"/>
    <n v="88"/>
    <n v="92"/>
    <x v="2"/>
    <x v="0"/>
  </r>
  <r>
    <s v="female"/>
    <s v="group D"/>
    <x v="3"/>
    <s v="standard"/>
    <x v="1"/>
    <n v="66"/>
    <n v="73"/>
    <n v="73"/>
    <n v="70.666666666666671"/>
    <x v="0"/>
    <x v="0"/>
  </r>
  <r>
    <s v="female"/>
    <s v="group B"/>
    <x v="2"/>
    <s v="free/reduced"/>
    <x v="1"/>
    <n v="45"/>
    <n v="59"/>
    <n v="56"/>
    <n v="53.333333333333336"/>
    <x v="1"/>
    <x v="0"/>
  </r>
  <r>
    <s v="female"/>
    <s v="group E"/>
    <x v="1"/>
    <s v="standard"/>
    <x v="0"/>
    <n v="62"/>
    <n v="78"/>
    <n v="73"/>
    <n v="71"/>
    <x v="0"/>
    <x v="0"/>
  </r>
  <r>
    <s v="male"/>
    <s v="group D"/>
    <x v="2"/>
    <s v="free/reduced"/>
    <x v="0"/>
    <n v="74"/>
    <n v="80"/>
    <n v="86"/>
    <n v="80"/>
    <x v="2"/>
    <x v="0"/>
  </r>
  <r>
    <s v="female"/>
    <s v="group D"/>
    <x v="4"/>
    <s v="free/reduced"/>
    <x v="1"/>
    <n v="82"/>
    <n v="87"/>
    <n v="90"/>
    <n v="86.333333333333329"/>
    <x v="2"/>
    <x v="0"/>
  </r>
  <r>
    <s v="male"/>
    <s v="group E"/>
    <x v="2"/>
    <s v="free/reduced"/>
    <x v="0"/>
    <n v="83"/>
    <n v="63"/>
    <n v="63"/>
    <n v="69.666666666666671"/>
    <x v="0"/>
    <x v="0"/>
  </r>
  <r>
    <s v="female"/>
    <s v="group D"/>
    <x v="1"/>
    <s v="free/reduced"/>
    <x v="0"/>
    <n v="60"/>
    <n v="72"/>
    <n v="76"/>
    <n v="69.333333333333329"/>
    <x v="0"/>
    <x v="0"/>
  </r>
  <r>
    <s v="female"/>
    <s v="group D"/>
    <x v="0"/>
    <s v="standard"/>
    <x v="1"/>
    <n v="66"/>
    <n v="73"/>
    <n v="72"/>
    <n v="70.333333333333329"/>
    <x v="0"/>
    <x v="0"/>
  </r>
  <r>
    <s v="male"/>
    <s v="group C"/>
    <x v="4"/>
    <s v="free/reduced"/>
    <x v="1"/>
    <n v="76"/>
    <n v="66"/>
    <n v="68"/>
    <n v="70"/>
    <x v="0"/>
    <x v="0"/>
  </r>
  <r>
    <s v="male"/>
    <s v="group B"/>
    <x v="3"/>
    <s v="standard"/>
    <x v="0"/>
    <n v="75"/>
    <n v="74"/>
    <n v="76"/>
    <n v="75"/>
    <x v="0"/>
    <x v="0"/>
  </r>
  <r>
    <s v="male"/>
    <s v="group B"/>
    <x v="2"/>
    <s v="standard"/>
    <x v="0"/>
    <n v="77"/>
    <n v="72"/>
    <n v="79"/>
    <n v="76"/>
    <x v="0"/>
    <x v="0"/>
  </r>
  <r>
    <s v="female"/>
    <s v="group E"/>
    <x v="2"/>
    <s v="free/reduced"/>
    <x v="1"/>
    <n v="82"/>
    <n v="88"/>
    <n v="86"/>
    <n v="85.333333333333329"/>
    <x v="2"/>
    <x v="0"/>
  </r>
  <r>
    <s v="male"/>
    <s v="group C"/>
    <x v="3"/>
    <s v="standard"/>
    <x v="0"/>
    <n v="63"/>
    <n v="59"/>
    <n v="60"/>
    <n v="60.666666666666664"/>
    <x v="0"/>
    <x v="0"/>
  </r>
  <r>
    <s v="female"/>
    <s v="group D"/>
    <x v="0"/>
    <s v="standard"/>
    <x v="1"/>
    <n v="70"/>
    <n v="85"/>
    <n v="85"/>
    <n v="80"/>
    <x v="2"/>
    <x v="0"/>
  </r>
  <r>
    <s v="male"/>
    <s v="group D"/>
    <x v="3"/>
    <s v="standard"/>
    <x v="0"/>
    <n v="84"/>
    <n v="71"/>
    <n v="76"/>
    <n v="77"/>
    <x v="0"/>
    <x v="0"/>
  </r>
  <r>
    <s v="male"/>
    <s v="group C"/>
    <x v="0"/>
    <s v="standard"/>
    <x v="0"/>
    <n v="68"/>
    <n v="60"/>
    <n v="63"/>
    <n v="63.666666666666664"/>
    <x v="0"/>
    <x v="0"/>
  </r>
  <r>
    <s v="male"/>
    <s v="group C"/>
    <x v="2"/>
    <s v="free/reduced"/>
    <x v="1"/>
    <n v="56"/>
    <n v="58"/>
    <n v="50"/>
    <n v="54.666666666666664"/>
    <x v="1"/>
    <x v="0"/>
  </r>
  <r>
    <s v="female"/>
    <s v="group C"/>
    <x v="3"/>
    <s v="free/reduced"/>
    <x v="1"/>
    <n v="37"/>
    <n v="46"/>
    <n v="43"/>
    <n v="42"/>
    <x v="1"/>
    <x v="0"/>
  </r>
  <r>
    <s v="female"/>
    <s v="group D"/>
    <x v="1"/>
    <s v="standard"/>
    <x v="1"/>
    <n v="49"/>
    <n v="56"/>
    <n v="53"/>
    <n v="52.666666666666664"/>
    <x v="1"/>
    <x v="0"/>
  </r>
  <r>
    <s v="female"/>
    <s v="group E"/>
    <x v="2"/>
    <s v="standard"/>
    <x v="0"/>
    <n v="100"/>
    <n v="100"/>
    <n v="100"/>
    <n v="100"/>
    <x v="2"/>
    <x v="0"/>
  </r>
  <r>
    <s v="male"/>
    <s v="group D"/>
    <x v="2"/>
    <s v="standard"/>
    <x v="1"/>
    <n v="83"/>
    <n v="68"/>
    <n v="65"/>
    <n v="72"/>
    <x v="0"/>
    <x v="0"/>
  </r>
  <r>
    <s v="female"/>
    <s v="group E"/>
    <x v="5"/>
    <s v="free/reduced"/>
    <x v="0"/>
    <n v="92"/>
    <n v="100"/>
    <n v="98"/>
    <n v="96.666666666666671"/>
    <x v="2"/>
    <x v="0"/>
  </r>
  <r>
    <s v="male"/>
    <s v="group E"/>
    <x v="5"/>
    <s v="free/reduced"/>
    <x v="1"/>
    <n v="71"/>
    <n v="62"/>
    <n v="66"/>
    <n v="66.333333333333329"/>
    <x v="0"/>
    <x v="0"/>
  </r>
  <r>
    <s v="male"/>
    <s v="group D"/>
    <x v="3"/>
    <s v="free/reduced"/>
    <x v="0"/>
    <n v="72"/>
    <n v="76"/>
    <n v="73"/>
    <n v="73.666666666666671"/>
    <x v="0"/>
    <x v="0"/>
  </r>
  <r>
    <s v="female"/>
    <s v="group D"/>
    <x v="4"/>
    <s v="free/reduced"/>
    <x v="1"/>
    <n v="37"/>
    <n v="53"/>
    <n v="48"/>
    <n v="46"/>
    <x v="1"/>
    <x v="0"/>
  </r>
  <r>
    <s v="male"/>
    <s v="group C"/>
    <x v="4"/>
    <s v="free/reduced"/>
    <x v="1"/>
    <n v="35"/>
    <n v="43"/>
    <n v="35"/>
    <n v="37.666666666666664"/>
    <x v="3"/>
    <x v="1"/>
  </r>
  <r>
    <s v="male"/>
    <s v="group C"/>
    <x v="2"/>
    <s v="free/reduced"/>
    <x v="1"/>
    <n v="69"/>
    <n v="68"/>
    <n v="62"/>
    <n v="66.333333333333329"/>
    <x v="0"/>
    <x v="0"/>
  </r>
  <r>
    <s v="female"/>
    <s v="group C"/>
    <x v="4"/>
    <s v="standard"/>
    <x v="1"/>
    <n v="65"/>
    <n v="73"/>
    <n v="81"/>
    <n v="73"/>
    <x v="0"/>
    <x v="0"/>
  </r>
  <r>
    <s v="male"/>
    <s v="group E"/>
    <x v="0"/>
    <s v="free/reduced"/>
    <x v="1"/>
    <n v="56"/>
    <n v="48"/>
    <n v="36"/>
    <n v="46.666666666666664"/>
    <x v="1"/>
    <x v="0"/>
  </r>
  <r>
    <s v="female"/>
    <s v="group D"/>
    <x v="0"/>
    <s v="standard"/>
    <x v="1"/>
    <n v="40"/>
    <n v="46"/>
    <n v="57"/>
    <n v="47.666666666666664"/>
    <x v="1"/>
    <x v="0"/>
  </r>
  <r>
    <s v="female"/>
    <s v="group E"/>
    <x v="0"/>
    <s v="standard"/>
    <x v="1"/>
    <n v="60"/>
    <n v="62"/>
    <n v="60"/>
    <n v="60.666666666666664"/>
    <x v="0"/>
    <x v="0"/>
  </r>
  <r>
    <s v="female"/>
    <s v="group C"/>
    <x v="1"/>
    <s v="standard"/>
    <x v="1"/>
    <n v="57"/>
    <n v="66"/>
    <n v="73"/>
    <n v="65.333333333333329"/>
    <x v="0"/>
    <x v="0"/>
  </r>
  <r>
    <s v="female"/>
    <s v="group C"/>
    <x v="1"/>
    <s v="free/reduced"/>
    <x v="0"/>
    <n v="58"/>
    <n v="62"/>
    <n v="66"/>
    <n v="62"/>
    <x v="0"/>
    <x v="0"/>
  </r>
  <r>
    <s v="female"/>
    <s v="group D"/>
    <x v="2"/>
    <s v="standard"/>
    <x v="0"/>
    <n v="74"/>
    <n v="95"/>
    <n v="94"/>
    <n v="87.666666666666671"/>
    <x v="2"/>
    <x v="0"/>
  </r>
  <r>
    <s v="female"/>
    <s v="group B"/>
    <x v="2"/>
    <s v="standard"/>
    <x v="1"/>
    <n v="77"/>
    <n v="77"/>
    <n v="83"/>
    <n v="79"/>
    <x v="0"/>
    <x v="0"/>
  </r>
  <r>
    <s v="male"/>
    <s v="group E"/>
    <x v="2"/>
    <s v="free/reduced"/>
    <x v="1"/>
    <n v="66"/>
    <n v="57"/>
    <n v="53"/>
    <n v="58.666666666666664"/>
    <x v="1"/>
    <x v="0"/>
  </r>
  <r>
    <s v="female"/>
    <s v="group D"/>
    <x v="2"/>
    <s v="standard"/>
    <x v="0"/>
    <n v="62"/>
    <n v="79"/>
    <n v="87"/>
    <n v="76"/>
    <x v="0"/>
    <x v="0"/>
  </r>
  <r>
    <s v="male"/>
    <s v="group C"/>
    <x v="0"/>
    <s v="free/reduced"/>
    <x v="1"/>
    <n v="29"/>
    <n v="38"/>
    <n v="27"/>
    <n v="31.333333333333332"/>
    <x v="3"/>
    <x v="1"/>
  </r>
  <r>
    <s v="female"/>
    <s v="group B"/>
    <x v="2"/>
    <s v="standard"/>
    <x v="1"/>
    <n v="70"/>
    <n v="73"/>
    <n v="66"/>
    <n v="69.666666666666671"/>
    <x v="0"/>
    <x v="0"/>
  </r>
  <r>
    <s v="male"/>
    <s v="group A"/>
    <x v="3"/>
    <s v="free/reduced"/>
    <x v="1"/>
    <n v="67"/>
    <n v="64"/>
    <n v="60"/>
    <n v="63.666666666666664"/>
    <x v="0"/>
    <x v="0"/>
  </r>
  <r>
    <s v="female"/>
    <s v="group C"/>
    <x v="0"/>
    <s v="standard"/>
    <x v="0"/>
    <n v="81"/>
    <n v="91"/>
    <n v="94"/>
    <n v="88.666666666666671"/>
    <x v="2"/>
    <x v="0"/>
  </r>
  <r>
    <s v="male"/>
    <s v="group C"/>
    <x v="3"/>
    <s v="free/reduced"/>
    <x v="1"/>
    <n v="56"/>
    <n v="50"/>
    <n v="43"/>
    <n v="49.666666666666664"/>
    <x v="1"/>
    <x v="0"/>
  </r>
  <r>
    <s v="female"/>
    <s v="group D"/>
    <x v="2"/>
    <s v="free/reduced"/>
    <x v="1"/>
    <n v="61"/>
    <n v="79"/>
    <n v="76"/>
    <n v="72"/>
    <x v="0"/>
    <x v="0"/>
  </r>
  <r>
    <s v="female"/>
    <s v="group D"/>
    <x v="0"/>
    <s v="free/reduced"/>
    <x v="0"/>
    <n v="47"/>
    <n v="54"/>
    <n v="56"/>
    <n v="52.333333333333336"/>
    <x v="1"/>
    <x v="0"/>
  </r>
  <r>
    <s v="male"/>
    <s v="group A"/>
    <x v="4"/>
    <s v="standard"/>
    <x v="0"/>
    <n v="88"/>
    <n v="87"/>
    <n v="94"/>
    <n v="89.666666666666671"/>
    <x v="2"/>
    <x v="0"/>
  </r>
  <r>
    <s v="male"/>
    <s v="group C"/>
    <x v="2"/>
    <s v="standard"/>
    <x v="0"/>
    <n v="51"/>
    <n v="52"/>
    <n v="52"/>
    <n v="51.666666666666664"/>
    <x v="1"/>
    <x v="0"/>
  </r>
  <r>
    <s v="male"/>
    <s v="group C"/>
    <x v="5"/>
    <s v="standard"/>
    <x v="1"/>
    <n v="68"/>
    <n v="60"/>
    <n v="62"/>
    <n v="63.333333333333336"/>
    <x v="0"/>
    <x v="0"/>
  </r>
  <r>
    <s v="female"/>
    <s v="group B"/>
    <x v="3"/>
    <s v="standard"/>
    <x v="1"/>
    <n v="68"/>
    <n v="71"/>
    <n v="71"/>
    <n v="70"/>
    <x v="0"/>
    <x v="0"/>
  </r>
  <r>
    <s v="female"/>
    <s v="group B"/>
    <x v="0"/>
    <s v="free/reduced"/>
    <x v="1"/>
    <n v="47"/>
    <n v="49"/>
    <n v="50"/>
    <n v="48.666666666666664"/>
    <x v="1"/>
    <x v="0"/>
  </r>
  <r>
    <s v="male"/>
    <s v="group E"/>
    <x v="5"/>
    <s v="free/reduced"/>
    <x v="0"/>
    <n v="84"/>
    <n v="77"/>
    <n v="82"/>
    <n v="81"/>
    <x v="2"/>
    <x v="0"/>
  </r>
  <r>
    <s v="male"/>
    <s v="group B"/>
    <x v="2"/>
    <s v="free/reduced"/>
    <x v="1"/>
    <n v="69"/>
    <n v="72"/>
    <n v="68"/>
    <n v="69.666666666666671"/>
    <x v="0"/>
    <x v="0"/>
  </r>
  <r>
    <s v="female"/>
    <s v="group D"/>
    <x v="4"/>
    <s v="standard"/>
    <x v="0"/>
    <n v="52"/>
    <n v="69"/>
    <n v="75"/>
    <n v="65.333333333333329"/>
    <x v="0"/>
    <x v="0"/>
  </r>
  <r>
    <s v="male"/>
    <s v="group B"/>
    <x v="3"/>
    <s v="standard"/>
    <x v="1"/>
    <n v="80"/>
    <n v="79"/>
    <n v="79"/>
    <n v="79.333333333333329"/>
    <x v="0"/>
    <x v="0"/>
  </r>
  <r>
    <s v="male"/>
    <s v="group C"/>
    <x v="4"/>
    <s v="standard"/>
    <x v="1"/>
    <n v="100"/>
    <n v="84"/>
    <n v="88"/>
    <n v="90.666666666666671"/>
    <x v="2"/>
    <x v="0"/>
  </r>
  <r>
    <s v="male"/>
    <s v="group C"/>
    <x v="0"/>
    <s v="standard"/>
    <x v="0"/>
    <n v="53"/>
    <n v="59"/>
    <n v="64"/>
    <n v="58.666666666666664"/>
    <x v="1"/>
    <x v="0"/>
  </r>
  <r>
    <s v="female"/>
    <s v="group B"/>
    <x v="5"/>
    <s v="standard"/>
    <x v="0"/>
    <n v="59"/>
    <n v="73"/>
    <n v="74"/>
    <n v="68.666666666666671"/>
    <x v="0"/>
    <x v="0"/>
  </r>
  <r>
    <s v="female"/>
    <s v="group B"/>
    <x v="2"/>
    <s v="standard"/>
    <x v="1"/>
    <n v="78"/>
    <n v="96"/>
    <n v="89"/>
    <n v="87.666666666666671"/>
    <x v="2"/>
    <x v="0"/>
  </r>
  <r>
    <s v="female"/>
    <s v="group B"/>
    <x v="3"/>
    <s v="standard"/>
    <x v="1"/>
    <n v="84"/>
    <n v="87"/>
    <n v="89"/>
    <n v="86.666666666666671"/>
    <x v="2"/>
    <x v="0"/>
  </r>
  <r>
    <s v="female"/>
    <s v="group C"/>
    <x v="0"/>
    <s v="free/reduced"/>
    <x v="1"/>
    <n v="52"/>
    <n v="72"/>
    <n v="71"/>
    <n v="65"/>
    <x v="0"/>
    <x v="0"/>
  </r>
  <r>
    <s v="male"/>
    <s v="group C"/>
    <x v="3"/>
    <s v="free/reduced"/>
    <x v="1"/>
    <n v="81"/>
    <n v="78"/>
    <n v="75"/>
    <n v="78"/>
    <x v="0"/>
    <x v="0"/>
  </r>
  <r>
    <s v="female"/>
    <s v="group C"/>
    <x v="3"/>
    <s v="standard"/>
    <x v="0"/>
    <n v="90"/>
    <n v="95"/>
    <n v="100"/>
    <n v="95"/>
    <x v="2"/>
    <x v="0"/>
  </r>
  <r>
    <s v="female"/>
    <s v="group A"/>
    <x v="0"/>
    <s v="standard"/>
    <x v="1"/>
    <n v="63"/>
    <n v="73"/>
    <n v="66"/>
    <n v="67.333333333333329"/>
    <x v="0"/>
    <x v="0"/>
  </r>
  <r>
    <s v="male"/>
    <s v="group D"/>
    <x v="4"/>
    <s v="standard"/>
    <x v="0"/>
    <n v="100"/>
    <n v="97"/>
    <n v="100"/>
    <n v="99"/>
    <x v="2"/>
    <x v="0"/>
  </r>
  <r>
    <s v="female"/>
    <s v="group B"/>
    <x v="2"/>
    <s v="standard"/>
    <x v="1"/>
    <n v="56"/>
    <n v="63"/>
    <n v="62"/>
    <n v="60.333333333333336"/>
    <x v="0"/>
    <x v="0"/>
  </r>
  <r>
    <s v="female"/>
    <s v="group B"/>
    <x v="2"/>
    <s v="standard"/>
    <x v="1"/>
    <n v="46"/>
    <n v="54"/>
    <n v="54"/>
    <n v="51.333333333333336"/>
    <x v="1"/>
    <x v="0"/>
  </r>
  <r>
    <s v="female"/>
    <s v="group B"/>
    <x v="0"/>
    <s v="free/reduced"/>
    <x v="0"/>
    <n v="75"/>
    <n v="85"/>
    <n v="90"/>
    <n v="83.333333333333329"/>
    <x v="2"/>
    <x v="0"/>
  </r>
  <r>
    <s v="female"/>
    <s v="group A"/>
    <x v="2"/>
    <s v="standard"/>
    <x v="1"/>
    <n v="46"/>
    <n v="51"/>
    <n v="54"/>
    <n v="50.333333333333336"/>
    <x v="1"/>
    <x v="0"/>
  </r>
  <r>
    <s v="male"/>
    <s v="group A"/>
    <x v="1"/>
    <s v="free/reduced"/>
    <x v="1"/>
    <n v="42"/>
    <n v="40"/>
    <n v="40"/>
    <n v="40.666666666666664"/>
    <x v="1"/>
    <x v="0"/>
  </r>
  <r>
    <s v="female"/>
    <s v="group C"/>
    <x v="1"/>
    <s v="standard"/>
    <x v="0"/>
    <n v="77"/>
    <n v="86"/>
    <n v="90"/>
    <n v="84.333333333333329"/>
    <x v="2"/>
    <x v="0"/>
  </r>
  <r>
    <s v="female"/>
    <s v="group C"/>
    <x v="2"/>
    <s v="free/reduced"/>
    <x v="1"/>
    <n v="40"/>
    <n v="63"/>
    <n v="56"/>
    <n v="53"/>
    <x v="1"/>
    <x v="0"/>
  </r>
  <r>
    <s v="female"/>
    <s v="group D"/>
    <x v="0"/>
    <s v="standard"/>
    <x v="1"/>
    <n v="69"/>
    <n v="71"/>
    <n v="76"/>
    <n v="72"/>
    <x v="0"/>
    <x v="0"/>
  </r>
  <r>
    <s v="male"/>
    <s v="group C"/>
    <x v="0"/>
    <s v="standard"/>
    <x v="1"/>
    <n v="43"/>
    <n v="50"/>
    <n v="45"/>
    <n v="46"/>
    <x v="1"/>
    <x v="0"/>
  </r>
  <r>
    <s v="female"/>
    <s v="group C"/>
    <x v="3"/>
    <s v="standard"/>
    <x v="0"/>
    <n v="69"/>
    <n v="75"/>
    <n v="71"/>
    <n v="71.666666666666671"/>
    <x v="0"/>
    <x v="0"/>
  </r>
  <r>
    <s v="female"/>
    <s v="group D"/>
    <x v="4"/>
    <s v="standard"/>
    <x v="0"/>
    <n v="89"/>
    <n v="93"/>
    <n v="100"/>
    <n v="94"/>
    <x v="2"/>
    <x v="0"/>
  </r>
  <r>
    <s v="male"/>
    <s v="group B"/>
    <x v="3"/>
    <s v="standard"/>
    <x v="1"/>
    <n v="44"/>
    <n v="34"/>
    <n v="36"/>
    <n v="38"/>
    <x v="3"/>
    <x v="1"/>
  </r>
  <r>
    <s v="male"/>
    <s v="group D"/>
    <x v="0"/>
    <s v="free/reduced"/>
    <x v="0"/>
    <n v="82"/>
    <n v="83"/>
    <n v="77"/>
    <n v="80.666666666666671"/>
    <x v="2"/>
    <x v="0"/>
  </r>
  <r>
    <s v="male"/>
    <s v="group D"/>
    <x v="3"/>
    <s v="free/reduced"/>
    <x v="1"/>
    <n v="72"/>
    <n v="72"/>
    <n v="65"/>
    <n v="69.666666666666671"/>
    <x v="0"/>
    <x v="0"/>
  </r>
  <r>
    <s v="male"/>
    <s v="group C"/>
    <x v="4"/>
    <s v="standard"/>
    <x v="1"/>
    <n v="64"/>
    <n v="53"/>
    <n v="50"/>
    <n v="55.666666666666664"/>
    <x v="1"/>
    <x v="0"/>
  </r>
  <r>
    <s v="male"/>
    <s v="group D"/>
    <x v="1"/>
    <s v="standard"/>
    <x v="1"/>
    <n v="89"/>
    <n v="73"/>
    <n v="70"/>
    <n v="77.333333333333329"/>
    <x v="0"/>
    <x v="0"/>
  </r>
  <r>
    <s v="male"/>
    <s v="group E"/>
    <x v="3"/>
    <s v="free/reduced"/>
    <x v="1"/>
    <n v="58"/>
    <n v="53"/>
    <n v="54"/>
    <n v="55"/>
    <x v="1"/>
    <x v="0"/>
  </r>
  <r>
    <s v="female"/>
    <s v="group A"/>
    <x v="0"/>
    <s v="standard"/>
    <x v="0"/>
    <n v="63"/>
    <n v="81"/>
    <n v="78"/>
    <n v="74"/>
    <x v="0"/>
    <x v="0"/>
  </r>
  <r>
    <s v="female"/>
    <s v="group A"/>
    <x v="4"/>
    <s v="standard"/>
    <x v="1"/>
    <n v="54"/>
    <n v="66"/>
    <n v="69"/>
    <n v="63"/>
    <x v="0"/>
    <x v="0"/>
  </r>
  <r>
    <s v="male"/>
    <s v="group C"/>
    <x v="0"/>
    <s v="free/reduced"/>
    <x v="0"/>
    <n v="83"/>
    <n v="78"/>
    <n v="82"/>
    <n v="81"/>
    <x v="2"/>
    <x v="0"/>
  </r>
  <r>
    <s v="female"/>
    <s v="group C"/>
    <x v="0"/>
    <s v="standard"/>
    <x v="1"/>
    <n v="57"/>
    <n v="74"/>
    <n v="64"/>
    <n v="65"/>
    <x v="0"/>
    <x v="0"/>
  </r>
  <r>
    <s v="female"/>
    <s v="group C"/>
    <x v="0"/>
    <s v="standard"/>
    <x v="1"/>
    <n v="52"/>
    <n v="47"/>
    <n v="48"/>
    <n v="49"/>
    <x v="1"/>
    <x v="0"/>
  </r>
  <r>
    <s v="female"/>
    <s v="group D"/>
    <x v="0"/>
    <s v="standard"/>
    <x v="0"/>
    <n v="75"/>
    <n v="93"/>
    <n v="97"/>
    <n v="88.333333333333329"/>
    <x v="2"/>
    <x v="0"/>
  </r>
  <r>
    <s v="male"/>
    <s v="group E"/>
    <x v="0"/>
    <s v="free/reduced"/>
    <x v="0"/>
    <n v="67"/>
    <n v="66"/>
    <n v="64"/>
    <n v="65.666666666666671"/>
    <x v="0"/>
    <x v="0"/>
  </r>
  <r>
    <s v="male"/>
    <s v="group B"/>
    <x v="1"/>
    <s v="standard"/>
    <x v="1"/>
    <n v="58"/>
    <n v="60"/>
    <n v="53"/>
    <n v="57"/>
    <x v="1"/>
    <x v="0"/>
  </r>
  <r>
    <s v="female"/>
    <s v="group B"/>
    <x v="4"/>
    <s v="free/reduced"/>
    <x v="1"/>
    <n v="63"/>
    <n v="66"/>
    <n v="68"/>
    <n v="65.666666666666671"/>
    <x v="0"/>
    <x v="0"/>
  </r>
  <r>
    <s v="female"/>
    <s v="group D"/>
    <x v="1"/>
    <s v="free/reduced"/>
    <x v="1"/>
    <n v="49"/>
    <n v="64"/>
    <n v="57"/>
    <n v="56.666666666666664"/>
    <x v="1"/>
    <x v="0"/>
  </r>
  <r>
    <s v="female"/>
    <s v="group D"/>
    <x v="2"/>
    <s v="free/reduced"/>
    <x v="1"/>
    <n v="38"/>
    <n v="47"/>
    <n v="52"/>
    <n v="45.666666666666664"/>
    <x v="1"/>
    <x v="0"/>
  </r>
  <r>
    <s v="female"/>
    <s v="group B"/>
    <x v="2"/>
    <s v="standard"/>
    <x v="0"/>
    <n v="74"/>
    <n v="85"/>
    <n v="84"/>
    <n v="81"/>
    <x v="2"/>
    <x v="0"/>
  </r>
  <r>
    <s v="male"/>
    <s v="group C"/>
    <x v="3"/>
    <s v="free/reduced"/>
    <x v="0"/>
    <n v="69"/>
    <n v="84"/>
    <n v="82"/>
    <n v="78.333333333333329"/>
    <x v="0"/>
    <x v="0"/>
  </r>
  <r>
    <s v="female"/>
    <s v="group D"/>
    <x v="3"/>
    <s v="standard"/>
    <x v="1"/>
    <n v="77"/>
    <n v="82"/>
    <n v="80"/>
    <n v="79.666666666666671"/>
    <x v="0"/>
    <x v="0"/>
  </r>
  <r>
    <s v="female"/>
    <s v="group A"/>
    <x v="5"/>
    <s v="free/reduced"/>
    <x v="1"/>
    <n v="40"/>
    <n v="59"/>
    <n v="59"/>
    <n v="52.666666666666664"/>
    <x v="1"/>
    <x v="0"/>
  </r>
  <r>
    <s v="female"/>
    <s v="group B"/>
    <x v="5"/>
    <s v="standard"/>
    <x v="0"/>
    <n v="96"/>
    <n v="98"/>
    <n v="100"/>
    <n v="98"/>
    <x v="2"/>
    <x v="0"/>
  </r>
  <r>
    <s v="female"/>
    <s v="group B"/>
    <x v="4"/>
    <s v="standard"/>
    <x v="1"/>
    <n v="85"/>
    <n v="86"/>
    <n v="85"/>
    <n v="85.333333333333329"/>
    <x v="2"/>
    <x v="0"/>
  </r>
  <r>
    <s v="male"/>
    <s v="group D"/>
    <x v="3"/>
    <s v="standard"/>
    <x v="1"/>
    <n v="85"/>
    <n v="77"/>
    <n v="76"/>
    <n v="79.333333333333329"/>
    <x v="0"/>
    <x v="0"/>
  </r>
  <r>
    <s v="male"/>
    <s v="group C"/>
    <x v="0"/>
    <s v="standard"/>
    <x v="1"/>
    <n v="72"/>
    <n v="59"/>
    <n v="54"/>
    <n v="61.666666666666664"/>
    <x v="0"/>
    <x v="0"/>
  </r>
  <r>
    <s v="female"/>
    <s v="group B"/>
    <x v="3"/>
    <s v="free/reduced"/>
    <x v="1"/>
    <n v="63"/>
    <n v="78"/>
    <n v="73"/>
    <n v="71.333333333333329"/>
    <x v="0"/>
    <x v="0"/>
  </r>
  <r>
    <s v="male"/>
    <s v="group B"/>
    <x v="1"/>
    <s v="standard"/>
    <x v="1"/>
    <n v="58"/>
    <n v="67"/>
    <n v="58"/>
    <n v="61"/>
    <x v="0"/>
    <x v="0"/>
  </r>
  <r>
    <s v="male"/>
    <s v="group B"/>
    <x v="4"/>
    <s v="free/reduced"/>
    <x v="1"/>
    <n v="58"/>
    <n v="64"/>
    <n v="54"/>
    <n v="58.666666666666664"/>
    <x v="1"/>
    <x v="0"/>
  </r>
  <r>
    <s v="male"/>
    <s v="group C"/>
    <x v="0"/>
    <s v="free/reduced"/>
    <x v="1"/>
    <n v="51"/>
    <n v="57"/>
    <n v="53"/>
    <n v="53.666666666666664"/>
    <x v="1"/>
    <x v="0"/>
  </r>
  <r>
    <s v="female"/>
    <s v="group D"/>
    <x v="5"/>
    <s v="standard"/>
    <x v="0"/>
    <n v="100"/>
    <n v="100"/>
    <n v="100"/>
    <n v="100"/>
    <x v="2"/>
    <x v="0"/>
  </r>
  <r>
    <s v="female"/>
    <s v="group D"/>
    <x v="5"/>
    <s v="standard"/>
    <x v="1"/>
    <n v="77"/>
    <n v="84"/>
    <n v="92"/>
    <n v="84.333333333333329"/>
    <x v="2"/>
    <x v="0"/>
  </r>
  <r>
    <s v="male"/>
    <s v="group E"/>
    <x v="4"/>
    <s v="free/reduced"/>
    <x v="1"/>
    <n v="63"/>
    <n v="56"/>
    <n v="56"/>
    <n v="58.333333333333336"/>
    <x v="1"/>
    <x v="0"/>
  </r>
  <r>
    <s v="female"/>
    <s v="group C"/>
    <x v="2"/>
    <s v="standard"/>
    <x v="1"/>
    <n v="64"/>
    <n v="67"/>
    <n v="68"/>
    <n v="66.333333333333329"/>
    <x v="0"/>
    <x v="0"/>
  </r>
  <r>
    <s v="male"/>
    <s v="group E"/>
    <x v="0"/>
    <s v="standard"/>
    <x v="1"/>
    <n v="100"/>
    <n v="82"/>
    <n v="80"/>
    <n v="87.333333333333329"/>
    <x v="2"/>
    <x v="0"/>
  </r>
  <r>
    <s v="male"/>
    <s v="group C"/>
    <x v="3"/>
    <s v="standard"/>
    <x v="1"/>
    <n v="66"/>
    <n v="65"/>
    <n v="65"/>
    <n v="65.333333333333329"/>
    <x v="0"/>
    <x v="0"/>
  </r>
  <r>
    <s v="male"/>
    <s v="group E"/>
    <x v="4"/>
    <s v="standard"/>
    <x v="1"/>
    <n v="87"/>
    <n v="87"/>
    <n v="84"/>
    <n v="86"/>
    <x v="2"/>
    <x v="0"/>
  </r>
  <r>
    <s v="male"/>
    <s v="group C"/>
    <x v="0"/>
    <s v="standard"/>
    <x v="1"/>
    <n v="73"/>
    <n v="72"/>
    <n v="69"/>
    <n v="71.333333333333329"/>
    <x v="0"/>
    <x v="0"/>
  </r>
  <r>
    <s v="male"/>
    <s v="group C"/>
    <x v="5"/>
    <s v="free/reduced"/>
    <x v="0"/>
    <n v="69"/>
    <n v="66"/>
    <n v="65"/>
    <n v="66.666666666666671"/>
    <x v="0"/>
    <x v="0"/>
  </r>
  <r>
    <s v="female"/>
    <s v="group C"/>
    <x v="0"/>
    <s v="standard"/>
    <x v="1"/>
    <n v="62"/>
    <n v="64"/>
    <n v="63"/>
    <n v="63"/>
    <x v="0"/>
    <x v="0"/>
  </r>
  <r>
    <s v="female"/>
    <s v="group C"/>
    <x v="1"/>
    <s v="standard"/>
    <x v="1"/>
    <n v="40"/>
    <n v="48"/>
    <n v="49"/>
    <n v="45.666666666666664"/>
    <x v="1"/>
    <x v="0"/>
  </r>
  <r>
    <s v="male"/>
    <s v="group C"/>
    <x v="2"/>
    <s v="free/reduced"/>
    <x v="0"/>
    <n v="55"/>
    <n v="68"/>
    <n v="60"/>
    <n v="61"/>
    <x v="0"/>
    <x v="0"/>
  </r>
  <r>
    <s v="male"/>
    <s v="group D"/>
    <x v="0"/>
    <s v="standard"/>
    <x v="0"/>
    <n v="77"/>
    <n v="77"/>
    <n v="78"/>
    <n v="77.333333333333329"/>
    <x v="0"/>
    <x v="0"/>
  </r>
  <r>
    <s v="male"/>
    <s v="group D"/>
    <x v="2"/>
    <s v="standard"/>
    <x v="0"/>
    <n v="63"/>
    <n v="70"/>
    <n v="71"/>
    <n v="68"/>
    <x v="0"/>
    <x v="0"/>
  </r>
  <r>
    <s v="male"/>
    <s v="group D"/>
    <x v="3"/>
    <s v="standard"/>
    <x v="0"/>
    <n v="85"/>
    <n v="85"/>
    <n v="91"/>
    <n v="87"/>
    <x v="2"/>
    <x v="0"/>
  </r>
  <r>
    <s v="female"/>
    <s v="group B"/>
    <x v="0"/>
    <s v="free/reduced"/>
    <x v="1"/>
    <n v="30"/>
    <n v="43"/>
    <n v="40"/>
    <n v="37.666666666666664"/>
    <x v="3"/>
    <x v="1"/>
  </r>
  <r>
    <s v="male"/>
    <s v="group B"/>
    <x v="0"/>
    <s v="standard"/>
    <x v="1"/>
    <n v="82"/>
    <n v="77"/>
    <n v="71"/>
    <n v="76.666666666666671"/>
    <x v="0"/>
    <x v="0"/>
  </r>
  <r>
    <s v="male"/>
    <s v="group D"/>
    <x v="3"/>
    <s v="free/reduced"/>
    <x v="0"/>
    <n v="81"/>
    <n v="71"/>
    <n v="70"/>
    <n v="74"/>
    <x v="0"/>
    <x v="0"/>
  </r>
  <r>
    <s v="female"/>
    <s v="group C"/>
    <x v="1"/>
    <s v="standard"/>
    <x v="0"/>
    <n v="92"/>
    <n v="100"/>
    <n v="97"/>
    <n v="96.333333333333329"/>
    <x v="2"/>
    <x v="0"/>
  </r>
  <r>
    <s v="male"/>
    <s v="group B"/>
    <x v="2"/>
    <s v="free/reduced"/>
    <x v="1"/>
    <n v="50"/>
    <n v="48"/>
    <n v="36"/>
    <n v="44.666666666666664"/>
    <x v="1"/>
    <x v="0"/>
  </r>
  <r>
    <s v="female"/>
    <s v="group B"/>
    <x v="3"/>
    <s v="standard"/>
    <x v="1"/>
    <n v="54"/>
    <n v="60"/>
    <n v="56"/>
    <n v="56.666666666666664"/>
    <x v="1"/>
    <x v="0"/>
  </r>
  <r>
    <s v="male"/>
    <s v="group C"/>
    <x v="3"/>
    <s v="standard"/>
    <x v="0"/>
    <n v="76"/>
    <n v="83"/>
    <n v="78"/>
    <n v="79"/>
    <x v="0"/>
    <x v="0"/>
  </r>
  <r>
    <s v="female"/>
    <s v="group D"/>
    <x v="1"/>
    <s v="standard"/>
    <x v="1"/>
    <n v="60"/>
    <n v="68"/>
    <n v="74"/>
    <n v="67.333333333333329"/>
    <x v="0"/>
    <x v="0"/>
  </r>
  <r>
    <s v="female"/>
    <s v="group A"/>
    <x v="3"/>
    <s v="free/reduced"/>
    <x v="0"/>
    <n v="45"/>
    <n v="72"/>
    <n v="66"/>
    <n v="61"/>
    <x v="0"/>
    <x v="0"/>
  </r>
  <r>
    <s v="male"/>
    <s v="group D"/>
    <x v="0"/>
    <s v="standard"/>
    <x v="1"/>
    <n v="80"/>
    <n v="77"/>
    <n v="72"/>
    <n v="76.333333333333329"/>
    <x v="0"/>
    <x v="0"/>
  </r>
  <r>
    <s v="male"/>
    <s v="group D"/>
    <x v="1"/>
    <s v="free/reduced"/>
    <x v="1"/>
    <n v="52"/>
    <n v="45"/>
    <n v="48"/>
    <n v="48.333333333333336"/>
    <x v="1"/>
    <x v="0"/>
  </r>
  <r>
    <s v="female"/>
    <s v="group C"/>
    <x v="0"/>
    <s v="standard"/>
    <x v="0"/>
    <n v="90"/>
    <n v="89"/>
    <n v="97"/>
    <n v="92"/>
    <x v="2"/>
    <x v="0"/>
  </r>
  <r>
    <s v="female"/>
    <s v="group D"/>
    <x v="0"/>
    <s v="free/reduced"/>
    <x v="1"/>
    <n v="53"/>
    <n v="65"/>
    <n v="69"/>
    <n v="62.333333333333336"/>
    <x v="0"/>
    <x v="0"/>
  </r>
  <r>
    <s v="female"/>
    <s v="group C"/>
    <x v="3"/>
    <s v="standard"/>
    <x v="1"/>
    <n v="92"/>
    <n v="95"/>
    <n v="95"/>
    <n v="94"/>
    <x v="2"/>
    <x v="0"/>
  </r>
  <r>
    <s v="female"/>
    <s v="group C"/>
    <x v="2"/>
    <s v="standard"/>
    <x v="0"/>
    <n v="63"/>
    <n v="78"/>
    <n v="75"/>
    <n v="72"/>
    <x v="0"/>
    <x v="0"/>
  </r>
  <r>
    <s v="female"/>
    <s v="group B"/>
    <x v="1"/>
    <s v="standard"/>
    <x v="1"/>
    <n v="71"/>
    <n v="77"/>
    <n v="79"/>
    <n v="75.666666666666671"/>
    <x v="0"/>
    <x v="0"/>
  </r>
  <r>
    <s v="female"/>
    <s v="group D"/>
    <x v="1"/>
    <s v="standard"/>
    <x v="1"/>
    <n v="64"/>
    <n v="70"/>
    <n v="73"/>
    <n v="69"/>
    <x v="0"/>
    <x v="0"/>
  </r>
  <r>
    <s v="female"/>
    <s v="group C"/>
    <x v="2"/>
    <s v="standard"/>
    <x v="0"/>
    <n v="67"/>
    <n v="81"/>
    <n v="89"/>
    <n v="79"/>
    <x v="0"/>
    <x v="0"/>
  </r>
  <r>
    <s v="male"/>
    <s v="group C"/>
    <x v="0"/>
    <s v="free/reduced"/>
    <x v="1"/>
    <n v="63"/>
    <n v="63"/>
    <n v="61"/>
    <n v="62.333333333333336"/>
    <x v="0"/>
    <x v="0"/>
  </r>
  <r>
    <s v="male"/>
    <s v="group B"/>
    <x v="0"/>
    <s v="standard"/>
    <x v="1"/>
    <n v="63"/>
    <n v="53"/>
    <n v="44"/>
    <n v="53.333333333333336"/>
    <x v="1"/>
    <x v="0"/>
  </r>
  <r>
    <s v="male"/>
    <s v="group C"/>
    <x v="1"/>
    <s v="standard"/>
    <x v="1"/>
    <n v="59"/>
    <n v="49"/>
    <n v="46"/>
    <n v="51.333333333333336"/>
    <x v="1"/>
    <x v="0"/>
  </r>
  <r>
    <s v="male"/>
    <s v="group E"/>
    <x v="0"/>
    <s v="standard"/>
    <x v="1"/>
    <n v="49"/>
    <n v="43"/>
    <n v="35"/>
    <n v="42.333333333333336"/>
    <x v="1"/>
    <x v="0"/>
  </r>
  <r>
    <s v="female"/>
    <s v="group D"/>
    <x v="5"/>
    <s v="standard"/>
    <x v="1"/>
    <n v="75"/>
    <n v="84"/>
    <n v="86"/>
    <n v="81.666666666666671"/>
    <x v="2"/>
    <x v="0"/>
  </r>
  <r>
    <s v="female"/>
    <s v="group C"/>
    <x v="1"/>
    <s v="free/reduced"/>
    <x v="1"/>
    <n v="34"/>
    <n v="47"/>
    <n v="45"/>
    <n v="42"/>
    <x v="1"/>
    <x v="0"/>
  </r>
  <r>
    <s v="female"/>
    <s v="group B"/>
    <x v="3"/>
    <s v="free/reduced"/>
    <x v="1"/>
    <n v="53"/>
    <n v="70"/>
    <n v="69"/>
    <n v="64"/>
    <x v="0"/>
    <x v="0"/>
  </r>
  <r>
    <s v="male"/>
    <s v="group B"/>
    <x v="5"/>
    <s v="standard"/>
    <x v="1"/>
    <n v="63"/>
    <n v="56"/>
    <n v="60"/>
    <n v="59.666666666666664"/>
    <x v="1"/>
    <x v="0"/>
  </r>
  <r>
    <s v="male"/>
    <s v="group C"/>
    <x v="3"/>
    <s v="standard"/>
    <x v="1"/>
    <n v="75"/>
    <n v="69"/>
    <n v="65"/>
    <n v="69.666666666666671"/>
    <x v="0"/>
    <x v="0"/>
  </r>
  <r>
    <s v="male"/>
    <s v="group E"/>
    <x v="3"/>
    <s v="free/reduced"/>
    <x v="1"/>
    <n v="63"/>
    <n v="61"/>
    <n v="62"/>
    <n v="62"/>
    <x v="0"/>
    <x v="0"/>
  </r>
  <r>
    <s v="female"/>
    <s v="group C"/>
    <x v="0"/>
    <s v="standard"/>
    <x v="1"/>
    <n v="70"/>
    <n v="72"/>
    <n v="75"/>
    <n v="72.333333333333329"/>
    <x v="0"/>
    <x v="0"/>
  </r>
  <r>
    <s v="female"/>
    <s v="group C"/>
    <x v="2"/>
    <s v="standard"/>
    <x v="1"/>
    <n v="61"/>
    <n v="73"/>
    <n v="70"/>
    <n v="68"/>
    <x v="0"/>
    <x v="0"/>
  </r>
  <r>
    <s v="male"/>
    <s v="group C"/>
    <x v="3"/>
    <s v="standard"/>
    <x v="1"/>
    <n v="74"/>
    <n v="61"/>
    <n v="59"/>
    <n v="64.666666666666671"/>
    <x v="0"/>
    <x v="0"/>
  </r>
  <r>
    <s v="male"/>
    <s v="group D"/>
    <x v="3"/>
    <s v="free/reduced"/>
    <x v="1"/>
    <n v="57"/>
    <n v="49"/>
    <n v="48"/>
    <n v="51.333333333333336"/>
    <x v="1"/>
    <x v="0"/>
  </r>
  <r>
    <s v="male"/>
    <s v="group C"/>
    <x v="1"/>
    <s v="free/reduced"/>
    <x v="0"/>
    <n v="41"/>
    <n v="52"/>
    <n v="47"/>
    <n v="46.666666666666664"/>
    <x v="1"/>
    <x v="0"/>
  </r>
  <r>
    <s v="male"/>
    <s v="group D"/>
    <x v="1"/>
    <s v="standard"/>
    <x v="1"/>
    <n v="87"/>
    <n v="80"/>
    <n v="76"/>
    <n v="81"/>
    <x v="2"/>
    <x v="0"/>
  </r>
  <r>
    <s v="male"/>
    <s v="group C"/>
    <x v="0"/>
    <s v="free/reduced"/>
    <x v="1"/>
    <n v="69"/>
    <n v="71"/>
    <n v="62"/>
    <n v="67.333333333333329"/>
    <x v="0"/>
    <x v="0"/>
  </r>
  <r>
    <s v="male"/>
    <s v="group C"/>
    <x v="3"/>
    <s v="free/reduced"/>
    <x v="1"/>
    <n v="69"/>
    <n v="77"/>
    <n v="70"/>
    <n v="72"/>
    <x v="0"/>
    <x v="0"/>
  </r>
  <r>
    <s v="male"/>
    <s v="group D"/>
    <x v="0"/>
    <s v="standard"/>
    <x v="0"/>
    <n v="58"/>
    <n v="56"/>
    <n v="56"/>
    <n v="56.666666666666664"/>
    <x v="1"/>
    <x v="0"/>
  </r>
  <r>
    <s v="female"/>
    <s v="group B"/>
    <x v="2"/>
    <s v="free/reduced"/>
    <x v="0"/>
    <n v="47"/>
    <n v="69"/>
    <n v="62"/>
    <n v="59.333333333333336"/>
    <x v="1"/>
    <x v="0"/>
  </r>
  <r>
    <s v="male"/>
    <s v="group D"/>
    <x v="3"/>
    <s v="standard"/>
    <x v="0"/>
    <n v="78"/>
    <n v="69"/>
    <n v="71"/>
    <n v="72.666666666666671"/>
    <x v="0"/>
    <x v="0"/>
  </r>
  <r>
    <s v="female"/>
    <s v="group B"/>
    <x v="2"/>
    <s v="free/reduced"/>
    <x v="0"/>
    <n v="54"/>
    <n v="61"/>
    <n v="71"/>
    <n v="62"/>
    <x v="0"/>
    <x v="0"/>
  </r>
  <r>
    <s v="male"/>
    <s v="group C"/>
    <x v="2"/>
    <s v="free/reduced"/>
    <x v="1"/>
    <n v="36"/>
    <n v="27"/>
    <n v="26"/>
    <n v="29.666666666666668"/>
    <x v="3"/>
    <x v="1"/>
  </r>
  <r>
    <s v="male"/>
    <s v="group B"/>
    <x v="4"/>
    <s v="standard"/>
    <x v="0"/>
    <n v="94"/>
    <n v="92"/>
    <n v="92"/>
    <n v="92.666666666666671"/>
    <x v="2"/>
    <x v="0"/>
  </r>
  <r>
    <s v="female"/>
    <s v="group D"/>
    <x v="3"/>
    <s v="free/reduced"/>
    <x v="1"/>
    <n v="68"/>
    <n v="84"/>
    <n v="80"/>
    <n v="77.333333333333329"/>
    <x v="0"/>
    <x v="0"/>
  </r>
  <r>
    <s v="female"/>
    <s v="group E"/>
    <x v="0"/>
    <s v="standard"/>
    <x v="1"/>
    <n v="90"/>
    <n v="88"/>
    <n v="84"/>
    <n v="87.333333333333329"/>
    <x v="2"/>
    <x v="0"/>
  </r>
  <r>
    <s v="male"/>
    <s v="group A"/>
    <x v="2"/>
    <s v="standard"/>
    <x v="1"/>
    <n v="57"/>
    <n v="57"/>
    <n v="53"/>
    <n v="55.666666666666664"/>
    <x v="1"/>
    <x v="0"/>
  </r>
  <r>
    <s v="male"/>
    <s v="group D"/>
    <x v="2"/>
    <s v="standard"/>
    <x v="0"/>
    <n v="96"/>
    <n v="95"/>
    <n v="90"/>
    <n v="93.666666666666671"/>
    <x v="2"/>
    <x v="0"/>
  </r>
  <r>
    <s v="male"/>
    <s v="group B"/>
    <x v="1"/>
    <s v="standard"/>
    <x v="0"/>
    <n v="68"/>
    <n v="63"/>
    <n v="62"/>
    <n v="64.333333333333329"/>
    <x v="0"/>
    <x v="0"/>
  </r>
  <r>
    <s v="female"/>
    <s v="group C"/>
    <x v="1"/>
    <s v="standard"/>
    <x v="0"/>
    <n v="52"/>
    <n v="64"/>
    <n v="63"/>
    <n v="59.666666666666664"/>
    <x v="1"/>
    <x v="0"/>
  </r>
  <r>
    <s v="male"/>
    <s v="group E"/>
    <x v="3"/>
    <s v="standard"/>
    <x v="1"/>
    <n v="90"/>
    <n v="76"/>
    <n v="73"/>
    <n v="79.666666666666671"/>
    <x v="0"/>
    <x v="0"/>
  </r>
  <r>
    <s v="male"/>
    <s v="group C"/>
    <x v="2"/>
    <s v="free/reduced"/>
    <x v="0"/>
    <n v="71"/>
    <n v="82"/>
    <n v="75"/>
    <n v="76"/>
    <x v="0"/>
    <x v="0"/>
  </r>
  <r>
    <s v="female"/>
    <s v="group C"/>
    <x v="2"/>
    <s v="free/reduced"/>
    <x v="0"/>
    <n v="58"/>
    <n v="69"/>
    <n v="74"/>
    <n v="67"/>
    <x v="0"/>
    <x v="0"/>
  </r>
  <r>
    <s v="male"/>
    <s v="group C"/>
    <x v="1"/>
    <s v="free/reduced"/>
    <x v="1"/>
    <n v="41"/>
    <n v="39"/>
    <n v="34"/>
    <n v="38"/>
    <x v="3"/>
    <x v="1"/>
  </r>
  <r>
    <s v="male"/>
    <s v="group D"/>
    <x v="1"/>
    <s v="standard"/>
    <x v="0"/>
    <n v="43"/>
    <n v="37"/>
    <n v="43"/>
    <n v="41"/>
    <x v="1"/>
    <x v="0"/>
  </r>
  <r>
    <s v="male"/>
    <s v="group D"/>
    <x v="0"/>
    <s v="standard"/>
    <x v="1"/>
    <n v="85"/>
    <n v="70"/>
    <n v="71"/>
    <n v="75.333333333333329"/>
    <x v="0"/>
    <x v="0"/>
  </r>
  <r>
    <s v="male"/>
    <s v="group B"/>
    <x v="1"/>
    <s v="standard"/>
    <x v="1"/>
    <n v="71"/>
    <n v="72"/>
    <n v="69"/>
    <n v="70.666666666666671"/>
    <x v="0"/>
    <x v="0"/>
  </r>
  <r>
    <s v="female"/>
    <s v="group A"/>
    <x v="0"/>
    <s v="standard"/>
    <x v="1"/>
    <n v="72"/>
    <n v="70"/>
    <n v="72"/>
    <n v="71.333333333333329"/>
    <x v="0"/>
    <x v="0"/>
  </r>
  <r>
    <s v="male"/>
    <s v="group D"/>
    <x v="3"/>
    <s v="free/reduced"/>
    <x v="1"/>
    <n v="70"/>
    <n v="62"/>
    <n v="66"/>
    <n v="66"/>
    <x v="0"/>
    <x v="0"/>
  </r>
  <r>
    <s v="female"/>
    <s v="group D"/>
    <x v="4"/>
    <s v="standard"/>
    <x v="1"/>
    <n v="89"/>
    <n v="100"/>
    <n v="100"/>
    <n v="96.333333333333329"/>
    <x v="2"/>
    <x v="0"/>
  </r>
  <r>
    <s v="female"/>
    <s v="group E"/>
    <x v="0"/>
    <s v="standard"/>
    <x v="1"/>
    <n v="92"/>
    <n v="86"/>
    <n v="82"/>
    <n v="86.666666666666671"/>
    <x v="2"/>
    <x v="0"/>
  </r>
  <r>
    <s v="male"/>
    <s v="group E"/>
    <x v="2"/>
    <s v="free/reduced"/>
    <x v="0"/>
    <n v="80"/>
    <n v="79"/>
    <n v="81"/>
    <n v="80"/>
    <x v="2"/>
    <x v="0"/>
  </r>
  <r>
    <s v="male"/>
    <s v="group C"/>
    <x v="1"/>
    <s v="standard"/>
    <x v="1"/>
    <n v="80"/>
    <n v="70"/>
    <n v="60"/>
    <n v="70"/>
    <x v="0"/>
    <x v="0"/>
  </r>
  <r>
    <s v="female"/>
    <s v="group B"/>
    <x v="0"/>
    <s v="standard"/>
    <x v="1"/>
    <n v="56"/>
    <n v="64"/>
    <n v="59"/>
    <n v="59.666666666666664"/>
    <x v="1"/>
    <x v="0"/>
  </r>
  <r>
    <s v="male"/>
    <s v="group E"/>
    <x v="0"/>
    <s v="free/reduced"/>
    <x v="1"/>
    <n v="93"/>
    <n v="86"/>
    <n v="73"/>
    <n v="84"/>
    <x v="2"/>
    <x v="0"/>
  </r>
  <r>
    <s v="male"/>
    <s v="group C"/>
    <x v="3"/>
    <s v="free/reduced"/>
    <x v="0"/>
    <n v="49"/>
    <n v="37"/>
    <n v="41"/>
    <n v="42.333333333333336"/>
    <x v="1"/>
    <x v="0"/>
  </r>
  <r>
    <s v="female"/>
    <s v="group E"/>
    <x v="5"/>
    <s v="standard"/>
    <x v="1"/>
    <n v="59"/>
    <n v="57"/>
    <n v="58"/>
    <n v="58"/>
    <x v="1"/>
    <x v="0"/>
  </r>
  <r>
    <s v="female"/>
    <s v="group C"/>
    <x v="1"/>
    <s v="standard"/>
    <x v="0"/>
    <n v="64"/>
    <n v="74"/>
    <n v="75"/>
    <n v="71"/>
    <x v="0"/>
    <x v="0"/>
  </r>
  <r>
    <s v="male"/>
    <s v="group D"/>
    <x v="1"/>
    <s v="standard"/>
    <x v="1"/>
    <n v="73"/>
    <n v="66"/>
    <n v="59"/>
    <n v="66"/>
    <x v="0"/>
    <x v="0"/>
  </r>
  <r>
    <s v="female"/>
    <s v="group B"/>
    <x v="2"/>
    <s v="standard"/>
    <x v="0"/>
    <n v="82"/>
    <n v="86"/>
    <n v="90"/>
    <n v="86"/>
    <x v="2"/>
    <x v="0"/>
  </r>
  <r>
    <s v="male"/>
    <s v="group D"/>
    <x v="0"/>
    <s v="free/reduced"/>
    <x v="1"/>
    <n v="48"/>
    <n v="43"/>
    <n v="41"/>
    <n v="44"/>
    <x v="1"/>
    <x v="0"/>
  </r>
  <r>
    <s v="female"/>
    <s v="group A"/>
    <x v="1"/>
    <s v="free/reduced"/>
    <x v="0"/>
    <n v="51"/>
    <n v="64"/>
    <n v="62"/>
    <n v="59"/>
    <x v="1"/>
    <x v="0"/>
  </r>
  <r>
    <s v="female"/>
    <s v="group E"/>
    <x v="1"/>
    <s v="free/reduced"/>
    <x v="0"/>
    <n v="38"/>
    <n v="46"/>
    <n v="43"/>
    <n v="42.333333333333336"/>
    <x v="1"/>
    <x v="0"/>
  </r>
  <r>
    <s v="male"/>
    <s v="group B"/>
    <x v="2"/>
    <s v="free/reduced"/>
    <x v="1"/>
    <n v="45"/>
    <n v="50"/>
    <n v="42"/>
    <n v="45.666666666666664"/>
    <x v="1"/>
    <x v="0"/>
  </r>
  <r>
    <s v="female"/>
    <s v="group A"/>
    <x v="2"/>
    <s v="standard"/>
    <x v="0"/>
    <n v="83"/>
    <n v="92"/>
    <n v="95"/>
    <n v="90"/>
    <x v="2"/>
    <x v="0"/>
  </r>
  <r>
    <s v="female"/>
    <s v="group B"/>
    <x v="1"/>
    <s v="standard"/>
    <x v="0"/>
    <n v="45"/>
    <n v="57"/>
    <n v="56"/>
    <n v="52.666666666666664"/>
    <x v="1"/>
    <x v="0"/>
  </r>
  <r>
    <s v="male"/>
    <s v="group D"/>
    <x v="0"/>
    <s v="free/reduced"/>
    <x v="1"/>
    <n v="66"/>
    <n v="64"/>
    <n v="62"/>
    <n v="64"/>
    <x v="0"/>
    <x v="0"/>
  </r>
  <r>
    <s v="male"/>
    <s v="group D"/>
    <x v="0"/>
    <s v="free/reduced"/>
    <x v="0"/>
    <n v="60"/>
    <n v="62"/>
    <n v="57"/>
    <n v="59.666666666666664"/>
    <x v="1"/>
    <x v="0"/>
  </r>
  <r>
    <s v="male"/>
    <s v="group C"/>
    <x v="3"/>
    <s v="standard"/>
    <x v="1"/>
    <n v="49"/>
    <n v="47"/>
    <n v="49"/>
    <n v="48.333333333333336"/>
    <x v="1"/>
    <x v="0"/>
  </r>
  <r>
    <s v="male"/>
    <s v="group D"/>
    <x v="4"/>
    <s v="standard"/>
    <x v="1"/>
    <n v="80"/>
    <n v="84"/>
    <n v="86"/>
    <n v="83.333333333333329"/>
    <x v="2"/>
    <x v="0"/>
  </r>
  <r>
    <s v="male"/>
    <s v="group E"/>
    <x v="0"/>
    <s v="standard"/>
    <x v="1"/>
    <n v="75"/>
    <n v="68"/>
    <n v="66"/>
    <n v="69.666666666666671"/>
    <x v="0"/>
    <x v="0"/>
  </r>
  <r>
    <s v="male"/>
    <s v="group B"/>
    <x v="2"/>
    <s v="free/reduced"/>
    <x v="0"/>
    <n v="57"/>
    <n v="68"/>
    <n v="61"/>
    <n v="62"/>
    <x v="0"/>
    <x v="0"/>
  </r>
  <r>
    <s v="female"/>
    <s v="group B"/>
    <x v="1"/>
    <s v="free/reduced"/>
    <x v="1"/>
    <n v="25"/>
    <n v="36"/>
    <n v="37"/>
    <n v="32.666666666666664"/>
    <x v="3"/>
    <x v="1"/>
  </r>
  <r>
    <s v="male"/>
    <s v="group E"/>
    <x v="2"/>
    <s v="free/reduced"/>
    <x v="1"/>
    <n v="90"/>
    <n v="87"/>
    <n v="81"/>
    <n v="86"/>
    <x v="2"/>
    <x v="0"/>
  </r>
  <r>
    <s v="female"/>
    <s v="group D"/>
    <x v="2"/>
    <s v="standard"/>
    <x v="1"/>
    <n v="63"/>
    <n v="70"/>
    <n v="71"/>
    <n v="68"/>
    <x v="0"/>
    <x v="0"/>
  </r>
  <r>
    <s v="male"/>
    <s v="group E"/>
    <x v="3"/>
    <s v="standard"/>
    <x v="1"/>
    <n v="100"/>
    <n v="91"/>
    <n v="86"/>
    <n v="92.333333333333329"/>
    <x v="2"/>
    <x v="0"/>
  </r>
  <r>
    <s v="male"/>
    <s v="group C"/>
    <x v="3"/>
    <s v="free/reduced"/>
    <x v="1"/>
    <n v="76"/>
    <n v="68"/>
    <n v="66"/>
    <n v="70"/>
    <x v="0"/>
    <x v="0"/>
  </r>
  <r>
    <s v="female"/>
    <s v="group B"/>
    <x v="1"/>
    <s v="free/reduced"/>
    <x v="1"/>
    <n v="52"/>
    <n v="58"/>
    <n v="53"/>
    <n v="54.333333333333336"/>
    <x v="1"/>
    <x v="0"/>
  </r>
  <r>
    <s v="female"/>
    <s v="group B"/>
    <x v="5"/>
    <s v="standard"/>
    <x v="0"/>
    <n v="81"/>
    <n v="86"/>
    <n v="93"/>
    <n v="86.666666666666671"/>
    <x v="2"/>
    <x v="0"/>
  </r>
  <r>
    <s v="male"/>
    <s v="group C"/>
    <x v="3"/>
    <s v="standard"/>
    <x v="0"/>
    <n v="90"/>
    <n v="89"/>
    <n v="87"/>
    <n v="88.666666666666671"/>
    <x v="2"/>
    <x v="0"/>
  </r>
  <r>
    <s v="male"/>
    <s v="group D"/>
    <x v="3"/>
    <s v="standard"/>
    <x v="1"/>
    <n v="83"/>
    <n v="82"/>
    <n v="81"/>
    <n v="82"/>
    <x v="2"/>
    <x v="0"/>
  </r>
  <r>
    <s v="female"/>
    <s v="group B"/>
    <x v="0"/>
    <s v="standard"/>
    <x v="1"/>
    <n v="61"/>
    <n v="73"/>
    <n v="69"/>
    <n v="67.666666666666671"/>
    <x v="0"/>
    <x v="0"/>
  </r>
  <r>
    <s v="female"/>
    <s v="group E"/>
    <x v="3"/>
    <s v="standard"/>
    <x v="0"/>
    <n v="79"/>
    <n v="69"/>
    <n v="75"/>
    <n v="74.333333333333329"/>
    <x v="0"/>
    <x v="0"/>
  </r>
  <r>
    <s v="male"/>
    <s v="group B"/>
    <x v="2"/>
    <s v="standard"/>
    <x v="1"/>
    <n v="52"/>
    <n v="53"/>
    <n v="51"/>
    <n v="52"/>
    <x v="1"/>
    <x v="0"/>
  </r>
  <r>
    <s v="female"/>
    <s v="group B"/>
    <x v="4"/>
    <s v="standard"/>
    <x v="0"/>
    <n v="62"/>
    <n v="65"/>
    <n v="67"/>
    <n v="64.666666666666671"/>
    <x v="0"/>
    <x v="0"/>
  </r>
  <r>
    <s v="female"/>
    <s v="group D"/>
    <x v="2"/>
    <s v="standard"/>
    <x v="1"/>
    <n v="85"/>
    <n v="90"/>
    <n v="84"/>
    <n v="86.333333333333329"/>
    <x v="2"/>
    <x v="0"/>
  </r>
  <r>
    <s v="female"/>
    <s v="group E"/>
    <x v="0"/>
    <s v="free/reduced"/>
    <x v="0"/>
    <n v="74"/>
    <n v="96"/>
    <n v="95"/>
    <n v="88.333333333333329"/>
    <x v="2"/>
    <x v="0"/>
  </r>
  <r>
    <s v="male"/>
    <s v="group C"/>
    <x v="3"/>
    <s v="free/reduced"/>
    <x v="1"/>
    <n v="83"/>
    <n v="85"/>
    <n v="78"/>
    <n v="82"/>
    <x v="2"/>
    <x v="0"/>
  </r>
  <r>
    <s v="male"/>
    <s v="group C"/>
    <x v="2"/>
    <s v="standard"/>
    <x v="1"/>
    <n v="78"/>
    <n v="72"/>
    <n v="72"/>
    <n v="74"/>
    <x v="0"/>
    <x v="0"/>
  </r>
  <r>
    <s v="female"/>
    <s v="group C"/>
    <x v="0"/>
    <s v="free/reduced"/>
    <x v="1"/>
    <n v="41"/>
    <n v="43"/>
    <n v="40"/>
    <n v="41.333333333333336"/>
    <x v="1"/>
    <x v="0"/>
  </r>
  <r>
    <s v="female"/>
    <s v="group A"/>
    <x v="0"/>
    <s v="standard"/>
    <x v="1"/>
    <n v="77"/>
    <n v="91"/>
    <n v="87"/>
    <n v="85"/>
    <x v="2"/>
    <x v="0"/>
  </r>
  <r>
    <s v="male"/>
    <s v="group C"/>
    <x v="4"/>
    <s v="standard"/>
    <x v="1"/>
    <n v="95"/>
    <n v="99"/>
    <n v="91"/>
    <n v="95"/>
    <x v="2"/>
    <x v="0"/>
  </r>
  <r>
    <s v="female"/>
    <s v="group B"/>
    <x v="0"/>
    <s v="free/reduced"/>
    <x v="1"/>
    <n v="50"/>
    <n v="68"/>
    <n v="66"/>
    <n v="61.333333333333336"/>
    <x v="0"/>
    <x v="0"/>
  </r>
  <r>
    <s v="male"/>
    <s v="group C"/>
    <x v="2"/>
    <s v="standard"/>
    <x v="1"/>
    <n v="74"/>
    <n v="76"/>
    <n v="70"/>
    <n v="73.333333333333329"/>
    <x v="0"/>
    <x v="0"/>
  </r>
  <r>
    <s v="female"/>
    <s v="group D"/>
    <x v="4"/>
    <s v="standard"/>
    <x v="0"/>
    <n v="74"/>
    <n v="93"/>
    <n v="93"/>
    <n v="86.666666666666671"/>
    <x v="2"/>
    <x v="0"/>
  </r>
  <r>
    <s v="male"/>
    <s v="group E"/>
    <x v="0"/>
    <s v="standard"/>
    <x v="1"/>
    <n v="70"/>
    <n v="62"/>
    <n v="61"/>
    <n v="64.333333333333329"/>
    <x v="0"/>
    <x v="0"/>
  </r>
  <r>
    <s v="male"/>
    <s v="group D"/>
    <x v="3"/>
    <s v="free/reduced"/>
    <x v="1"/>
    <n v="61"/>
    <n v="59"/>
    <n v="54"/>
    <n v="58"/>
    <x v="1"/>
    <x v="0"/>
  </r>
  <r>
    <s v="female"/>
    <s v="group A"/>
    <x v="5"/>
    <s v="standard"/>
    <x v="0"/>
    <n v="94"/>
    <n v="100"/>
    <n v="100"/>
    <n v="98"/>
    <x v="2"/>
    <x v="0"/>
  </r>
  <r>
    <s v="female"/>
    <s v="group D"/>
    <x v="0"/>
    <s v="standard"/>
    <x v="1"/>
    <n v="66"/>
    <n v="84"/>
    <n v="77"/>
    <n v="75.666666666666671"/>
    <x v="0"/>
    <x v="0"/>
  </r>
  <r>
    <s v="female"/>
    <s v="group D"/>
    <x v="5"/>
    <s v="standard"/>
    <x v="1"/>
    <n v="83"/>
    <n v="88"/>
    <n v="93"/>
    <n v="88"/>
    <x v="2"/>
    <x v="0"/>
  </r>
  <r>
    <s v="male"/>
    <s v="group D"/>
    <x v="0"/>
    <s v="standard"/>
    <x v="1"/>
    <n v="75"/>
    <n v="63"/>
    <n v="60"/>
    <n v="66"/>
    <x v="0"/>
    <x v="0"/>
  </r>
  <r>
    <s v="male"/>
    <s v="group D"/>
    <x v="0"/>
    <s v="free/reduced"/>
    <x v="0"/>
    <n v="56"/>
    <n v="65"/>
    <n v="63"/>
    <n v="61.333333333333336"/>
    <x v="0"/>
    <x v="0"/>
  </r>
  <r>
    <s v="female"/>
    <s v="group B"/>
    <x v="2"/>
    <s v="free/reduced"/>
    <x v="1"/>
    <n v="66"/>
    <n v="88"/>
    <n v="83"/>
    <n v="79"/>
    <x v="0"/>
    <x v="0"/>
  </r>
  <r>
    <s v="female"/>
    <s v="group B"/>
    <x v="0"/>
    <s v="free/reduced"/>
    <x v="1"/>
    <n v="61"/>
    <n v="69"/>
    <n v="66"/>
    <n v="65.333333333333329"/>
    <x v="0"/>
    <x v="0"/>
  </r>
  <r>
    <s v="male"/>
    <s v="group C"/>
    <x v="1"/>
    <s v="standard"/>
    <x v="0"/>
    <n v="70"/>
    <n v="79"/>
    <n v="73"/>
    <n v="74"/>
    <x v="0"/>
    <x v="0"/>
  </r>
  <r>
    <s v="male"/>
    <s v="group C"/>
    <x v="5"/>
    <s v="standard"/>
    <x v="1"/>
    <n v="57"/>
    <n v="59"/>
    <n v="53"/>
    <n v="56.333333333333336"/>
    <x v="1"/>
    <x v="0"/>
  </r>
  <r>
    <s v="female"/>
    <s v="group C"/>
    <x v="3"/>
    <s v="free/reduced"/>
    <x v="0"/>
    <n v="78"/>
    <n v="89"/>
    <n v="90"/>
    <n v="85.666666666666671"/>
    <x v="2"/>
    <x v="0"/>
  </r>
  <r>
    <s v="female"/>
    <s v="group C"/>
    <x v="1"/>
    <s v="standard"/>
    <x v="1"/>
    <n v="62"/>
    <n v="76"/>
    <n v="67"/>
    <n v="68.333333333333329"/>
    <x v="0"/>
    <x v="0"/>
  </r>
  <r>
    <s v="male"/>
    <s v="group C"/>
    <x v="1"/>
    <s v="standard"/>
    <x v="0"/>
    <n v="64"/>
    <n v="53"/>
    <n v="49"/>
    <n v="55.333333333333336"/>
    <x v="1"/>
    <x v="0"/>
  </r>
  <r>
    <s v="female"/>
    <s v="group B"/>
    <x v="0"/>
    <s v="free/reduced"/>
    <x v="1"/>
    <n v="55"/>
    <n v="66"/>
    <n v="65"/>
    <n v="62"/>
    <x v="0"/>
    <x v="0"/>
  </r>
  <r>
    <s v="female"/>
    <s v="group D"/>
    <x v="2"/>
    <s v="standard"/>
    <x v="1"/>
    <n v="72"/>
    <n v="83"/>
    <n v="83"/>
    <n v="79.333333333333329"/>
    <x v="0"/>
    <x v="0"/>
  </r>
  <r>
    <s v="male"/>
    <s v="group A"/>
    <x v="2"/>
    <s v="free/reduced"/>
    <x v="1"/>
    <n v="49"/>
    <n v="48"/>
    <n v="42"/>
    <n v="46.333333333333336"/>
    <x v="1"/>
    <x v="0"/>
  </r>
  <r>
    <s v="female"/>
    <s v="group D"/>
    <x v="2"/>
    <s v="standard"/>
    <x v="1"/>
    <n v="62"/>
    <n v="60"/>
    <n v="63"/>
    <n v="61.666666666666664"/>
    <x v="0"/>
    <x v="0"/>
  </r>
  <r>
    <s v="male"/>
    <s v="group B"/>
    <x v="1"/>
    <s v="free/reduced"/>
    <x v="1"/>
    <n v="76"/>
    <n v="73"/>
    <n v="68"/>
    <n v="72.333333333333329"/>
    <x v="0"/>
    <x v="0"/>
  </r>
  <r>
    <s v="female"/>
    <s v="group C"/>
    <x v="5"/>
    <s v="standard"/>
    <x v="0"/>
    <n v="73"/>
    <n v="86"/>
    <n v="85"/>
    <n v="81.333333333333329"/>
    <x v="2"/>
    <x v="0"/>
  </r>
  <r>
    <s v="female"/>
    <s v="group C"/>
    <x v="3"/>
    <s v="standard"/>
    <x v="0"/>
    <n v="72"/>
    <n v="76"/>
    <n v="78"/>
    <n v="75.333333333333329"/>
    <x v="0"/>
    <x v="0"/>
  </r>
  <r>
    <s v="male"/>
    <s v="group C"/>
    <x v="0"/>
    <s v="standard"/>
    <x v="1"/>
    <n v="85"/>
    <n v="85"/>
    <n v="76"/>
    <n v="82"/>
    <x v="2"/>
    <x v="0"/>
  </r>
  <r>
    <s v="male"/>
    <s v="group A"/>
    <x v="2"/>
    <s v="free/reduced"/>
    <x v="1"/>
    <n v="71"/>
    <n v="68"/>
    <n v="65"/>
    <n v="68"/>
    <x v="0"/>
    <x v="0"/>
  </r>
  <r>
    <s v="female"/>
    <s v="group C"/>
    <x v="1"/>
    <s v="free/reduced"/>
    <x v="1"/>
    <n v="28"/>
    <n v="38"/>
    <n v="31"/>
    <n v="32.333333333333336"/>
    <x v="3"/>
    <x v="1"/>
  </r>
  <r>
    <s v="male"/>
    <s v="group C"/>
    <x v="0"/>
    <s v="free/reduced"/>
    <x v="1"/>
    <n v="41"/>
    <n v="42"/>
    <n v="38"/>
    <n v="40.333333333333336"/>
    <x v="1"/>
    <x v="0"/>
  </r>
  <r>
    <s v="male"/>
    <s v="group E"/>
    <x v="3"/>
    <s v="standard"/>
    <x v="1"/>
    <n v="78"/>
    <n v="72"/>
    <n v="68"/>
    <n v="72.666666666666671"/>
    <x v="0"/>
    <x v="0"/>
  </r>
  <r>
    <s v="male"/>
    <s v="group C"/>
    <x v="5"/>
    <s v="free/reduced"/>
    <x v="1"/>
    <n v="48"/>
    <n v="52"/>
    <n v="44"/>
    <n v="48"/>
    <x v="1"/>
    <x v="0"/>
  </r>
  <r>
    <s v="male"/>
    <s v="group C"/>
    <x v="3"/>
    <s v="free/reduced"/>
    <x v="1"/>
    <n v="38"/>
    <n v="51"/>
    <n v="47"/>
    <n v="45.333333333333336"/>
    <x v="1"/>
    <x v="0"/>
  </r>
  <r>
    <s v="female"/>
    <s v="group A"/>
    <x v="4"/>
    <s v="standard"/>
    <x v="0"/>
    <n v="91"/>
    <n v="100"/>
    <n v="100"/>
    <n v="97"/>
    <x v="2"/>
    <x v="0"/>
  </r>
  <r>
    <s v="female"/>
    <s v="group D"/>
    <x v="4"/>
    <s v="standard"/>
    <x v="1"/>
    <n v="71"/>
    <n v="81"/>
    <n v="80"/>
    <n v="77.333333333333329"/>
    <x v="0"/>
    <x v="0"/>
  </r>
  <r>
    <s v="female"/>
    <s v="group D"/>
    <x v="4"/>
    <s v="standard"/>
    <x v="1"/>
    <n v="84"/>
    <n v="87"/>
    <n v="92"/>
    <n v="87.666666666666671"/>
    <x v="2"/>
    <x v="0"/>
  </r>
  <r>
    <s v="male"/>
    <s v="group E"/>
    <x v="3"/>
    <s v="free/reduced"/>
    <x v="0"/>
    <n v="63"/>
    <n v="60"/>
    <n v="63"/>
    <n v="62"/>
    <x v="0"/>
    <x v="0"/>
  </r>
  <r>
    <s v="female"/>
    <s v="group A"/>
    <x v="3"/>
    <s v="standard"/>
    <x v="0"/>
    <n v="70"/>
    <n v="78"/>
    <n v="87"/>
    <n v="78.333333333333329"/>
    <x v="0"/>
    <x v="0"/>
  </r>
  <r>
    <s v="male"/>
    <s v="group B"/>
    <x v="4"/>
    <s v="free/reduced"/>
    <x v="0"/>
    <n v="48"/>
    <n v="52"/>
    <n v="57"/>
    <n v="52.333333333333336"/>
    <x v="1"/>
    <x v="0"/>
  </r>
  <r>
    <s v="male"/>
    <s v="group D"/>
    <x v="1"/>
    <s v="standard"/>
    <x v="0"/>
    <n v="68"/>
    <n v="72"/>
    <n v="73"/>
    <n v="71"/>
    <x v="0"/>
    <x v="0"/>
  </r>
  <r>
    <s v="female"/>
    <s v="group D"/>
    <x v="2"/>
    <s v="standard"/>
    <x v="1"/>
    <n v="84"/>
    <n v="84"/>
    <n v="87"/>
    <n v="85"/>
    <x v="2"/>
    <x v="0"/>
  </r>
  <r>
    <s v="male"/>
    <s v="group D"/>
    <x v="0"/>
    <s v="standard"/>
    <x v="1"/>
    <n v="61"/>
    <n v="62"/>
    <n v="60"/>
    <n v="61"/>
    <x v="0"/>
    <x v="0"/>
  </r>
  <r>
    <s v="male"/>
    <s v="group C"/>
    <x v="1"/>
    <s v="free/reduced"/>
    <x v="1"/>
    <n v="62"/>
    <n v="59"/>
    <n v="62"/>
    <n v="61"/>
    <x v="0"/>
    <x v="0"/>
  </r>
  <r>
    <s v="female"/>
    <s v="group C"/>
    <x v="5"/>
    <s v="free/reduced"/>
    <x v="1"/>
    <n v="66"/>
    <n v="78"/>
    <n v="83"/>
    <n v="75.666666666666671"/>
    <x v="0"/>
    <x v="0"/>
  </r>
  <r>
    <s v="female"/>
    <s v="group C"/>
    <x v="0"/>
    <s v="standard"/>
    <x v="0"/>
    <n v="52"/>
    <n v="65"/>
    <n v="71"/>
    <n v="62.666666666666664"/>
    <x v="0"/>
    <x v="0"/>
  </r>
  <r>
    <s v="female"/>
    <s v="group D"/>
    <x v="2"/>
    <s v="standard"/>
    <x v="0"/>
    <n v="68"/>
    <n v="75"/>
    <n v="73"/>
    <n v="72"/>
    <x v="0"/>
    <x v="0"/>
  </r>
  <r>
    <s v="male"/>
    <s v="group D"/>
    <x v="2"/>
    <s v="free/reduced"/>
    <x v="0"/>
    <n v="62"/>
    <n v="68"/>
    <n v="71"/>
    <n v="67"/>
    <x v="0"/>
    <x v="0"/>
  </r>
  <r>
    <s v="male"/>
    <s v="group E"/>
    <x v="4"/>
    <s v="standard"/>
    <x v="0"/>
    <n v="90"/>
    <n v="88"/>
    <n v="84"/>
    <n v="87.333333333333329"/>
    <x v="2"/>
    <x v="0"/>
  </r>
  <r>
    <s v="female"/>
    <s v="group A"/>
    <x v="5"/>
    <s v="free/reduced"/>
    <x v="1"/>
    <n v="42"/>
    <n v="50"/>
    <n v="44"/>
    <n v="45.333333333333336"/>
    <x v="1"/>
    <x v="0"/>
  </r>
  <r>
    <s v="male"/>
    <s v="group D"/>
    <x v="3"/>
    <s v="free/reduced"/>
    <x v="0"/>
    <n v="74"/>
    <n v="90"/>
    <n v="89"/>
    <n v="84.333333333333329"/>
    <x v="2"/>
    <x v="0"/>
  </r>
  <r>
    <s v="male"/>
    <s v="group B"/>
    <x v="3"/>
    <s v="standard"/>
    <x v="0"/>
    <n v="62"/>
    <n v="61"/>
    <n v="61"/>
    <n v="61.333333333333336"/>
    <x v="0"/>
    <x v="0"/>
  </r>
  <r>
    <s v="male"/>
    <s v="group C"/>
    <x v="2"/>
    <s v="standard"/>
    <x v="1"/>
    <n v="56"/>
    <n v="55"/>
    <n v="50"/>
    <n v="53.666666666666664"/>
    <x v="1"/>
    <x v="0"/>
  </r>
  <r>
    <s v="male"/>
    <s v="group C"/>
    <x v="0"/>
    <s v="free/reduced"/>
    <x v="1"/>
    <n v="64"/>
    <n v="52"/>
    <n v="54"/>
    <n v="56.666666666666664"/>
    <x v="1"/>
    <x v="0"/>
  </r>
  <r>
    <s v="male"/>
    <s v="group D"/>
    <x v="0"/>
    <s v="standard"/>
    <x v="0"/>
    <n v="79"/>
    <n v="84"/>
    <n v="80"/>
    <n v="81"/>
    <x v="2"/>
    <x v="0"/>
  </r>
  <r>
    <s v="female"/>
    <s v="group C"/>
    <x v="1"/>
    <s v="standard"/>
    <x v="1"/>
    <n v="44"/>
    <n v="65"/>
    <n v="63"/>
    <n v="57.333333333333336"/>
    <x v="1"/>
    <x v="0"/>
  </r>
  <r>
    <s v="female"/>
    <s v="group B"/>
    <x v="2"/>
    <s v="standard"/>
    <x v="0"/>
    <n v="69"/>
    <n v="94"/>
    <n v="87"/>
    <n v="83.333333333333329"/>
    <x v="2"/>
    <x v="0"/>
  </r>
  <r>
    <s v="male"/>
    <s v="group A"/>
    <x v="2"/>
    <s v="standard"/>
    <x v="1"/>
    <n v="53"/>
    <n v="48"/>
    <n v="48"/>
    <n v="49.666666666666664"/>
    <x v="1"/>
    <x v="0"/>
  </r>
  <r>
    <s v="male"/>
    <s v="group C"/>
    <x v="0"/>
    <s v="standard"/>
    <x v="1"/>
    <n v="74"/>
    <n v="69"/>
    <n v="61"/>
    <n v="68"/>
    <x v="0"/>
    <x v="0"/>
  </r>
  <r>
    <s v="male"/>
    <s v="group C"/>
    <x v="3"/>
    <s v="standard"/>
    <x v="1"/>
    <n v="49"/>
    <n v="55"/>
    <n v="48"/>
    <n v="50.666666666666664"/>
    <x v="1"/>
    <x v="0"/>
  </r>
  <r>
    <s v="female"/>
    <s v="group D"/>
    <x v="3"/>
    <s v="free/reduced"/>
    <x v="1"/>
    <n v="57"/>
    <n v="71"/>
    <n v="71"/>
    <n v="66.333333333333329"/>
    <x v="0"/>
    <x v="0"/>
  </r>
  <r>
    <s v="female"/>
    <s v="group D"/>
    <x v="5"/>
    <s v="standard"/>
    <x v="1"/>
    <n v="61"/>
    <n v="72"/>
    <n v="64"/>
    <n v="65.666666666666671"/>
    <x v="0"/>
    <x v="0"/>
  </r>
  <r>
    <s v="female"/>
    <s v="group C"/>
    <x v="5"/>
    <s v="free/reduced"/>
    <x v="1"/>
    <n v="65"/>
    <n v="88"/>
    <n v="84"/>
    <n v="79"/>
    <x v="0"/>
    <x v="0"/>
  </r>
  <r>
    <s v="female"/>
    <s v="group C"/>
    <x v="2"/>
    <s v="standard"/>
    <x v="1"/>
    <n v="51"/>
    <n v="60"/>
    <n v="52"/>
    <n v="54.333333333333336"/>
    <x v="1"/>
    <x v="0"/>
  </r>
  <r>
    <s v="female"/>
    <s v="group C"/>
    <x v="1"/>
    <s v="standard"/>
    <x v="1"/>
    <n v="49"/>
    <n v="51"/>
    <n v="41"/>
    <n v="47"/>
    <x v="1"/>
    <x v="0"/>
  </r>
  <r>
    <s v="male"/>
    <s v="group B"/>
    <x v="5"/>
    <s v="free/reduced"/>
    <x v="1"/>
    <n v="56"/>
    <n v="65"/>
    <n v="56"/>
    <n v="59"/>
    <x v="1"/>
    <x v="0"/>
  </r>
  <r>
    <s v="male"/>
    <s v="group D"/>
    <x v="3"/>
    <s v="standard"/>
    <x v="1"/>
    <n v="65"/>
    <n v="62"/>
    <n v="63"/>
    <n v="63.333333333333336"/>
    <x v="0"/>
    <x v="0"/>
  </r>
  <r>
    <s v="male"/>
    <s v="group D"/>
    <x v="2"/>
    <s v="standard"/>
    <x v="1"/>
    <n v="70"/>
    <n v="64"/>
    <n v="62"/>
    <n v="65.333333333333329"/>
    <x v="0"/>
    <x v="0"/>
  </r>
  <r>
    <s v="male"/>
    <s v="group D"/>
    <x v="2"/>
    <s v="standard"/>
    <x v="1"/>
    <n v="91"/>
    <n v="95"/>
    <n v="88"/>
    <n v="91.333333333333329"/>
    <x v="2"/>
    <x v="0"/>
  </r>
  <r>
    <s v="female"/>
    <s v="group D"/>
    <x v="0"/>
    <s v="standard"/>
    <x v="0"/>
    <n v="48"/>
    <n v="56"/>
    <n v="64"/>
    <n v="56"/>
    <x v="1"/>
    <x v="0"/>
  </r>
  <r>
    <s v="female"/>
    <s v="group C"/>
    <x v="3"/>
    <s v="standard"/>
    <x v="0"/>
    <n v="94"/>
    <n v="99"/>
    <n v="100"/>
    <n v="97.666666666666671"/>
    <x v="2"/>
    <x v="0"/>
  </r>
  <r>
    <s v="male"/>
    <s v="group B"/>
    <x v="5"/>
    <s v="standard"/>
    <x v="1"/>
    <n v="77"/>
    <n v="76"/>
    <n v="73"/>
    <n v="75.333333333333329"/>
    <x v="0"/>
    <x v="0"/>
  </r>
  <r>
    <s v="female"/>
    <s v="group D"/>
    <x v="1"/>
    <s v="standard"/>
    <x v="1"/>
    <n v="59"/>
    <n v="78"/>
    <n v="75"/>
    <n v="70.666666666666671"/>
    <x v="0"/>
    <x v="0"/>
  </r>
  <r>
    <s v="female"/>
    <s v="group C"/>
    <x v="2"/>
    <s v="free/reduced"/>
    <x v="1"/>
    <n v="57"/>
    <n v="75"/>
    <n v="70"/>
    <n v="67.333333333333329"/>
    <x v="0"/>
    <x v="0"/>
  </r>
  <r>
    <s v="female"/>
    <s v="group C"/>
    <x v="1"/>
    <s v="standard"/>
    <x v="1"/>
    <n v="76"/>
    <n v="82"/>
    <n v="74"/>
    <n v="77.333333333333329"/>
    <x v="0"/>
    <x v="0"/>
  </r>
  <r>
    <s v="male"/>
    <s v="group D"/>
    <x v="0"/>
    <s v="standard"/>
    <x v="1"/>
    <n v="65"/>
    <n v="63"/>
    <n v="64"/>
    <n v="64"/>
    <x v="0"/>
    <x v="0"/>
  </r>
  <r>
    <s v="female"/>
    <s v="group B"/>
    <x v="5"/>
    <s v="standard"/>
    <x v="0"/>
    <n v="75"/>
    <n v="75"/>
    <n v="83"/>
    <n v="77.666666666666671"/>
    <x v="0"/>
    <x v="0"/>
  </r>
  <r>
    <s v="male"/>
    <s v="group D"/>
    <x v="5"/>
    <s v="standard"/>
    <x v="1"/>
    <n v="70"/>
    <n v="66"/>
    <n v="65"/>
    <n v="67"/>
    <x v="0"/>
    <x v="0"/>
  </r>
  <r>
    <s v="male"/>
    <s v="group C"/>
    <x v="0"/>
    <s v="standard"/>
    <x v="0"/>
    <n v="79"/>
    <n v="79"/>
    <n v="70"/>
    <n v="76"/>
    <x v="0"/>
    <x v="0"/>
  </r>
  <r>
    <s v="female"/>
    <s v="group A"/>
    <x v="4"/>
    <s v="standard"/>
    <x v="0"/>
    <n v="83"/>
    <n v="96"/>
    <n v="99"/>
    <n v="92.666666666666671"/>
    <x v="2"/>
    <x v="0"/>
  </r>
  <r>
    <s v="female"/>
    <s v="group C"/>
    <x v="3"/>
    <s v="free/reduced"/>
    <x v="1"/>
    <n v="70"/>
    <n v="84"/>
    <n v="78"/>
    <n v="77.333333333333329"/>
    <x v="0"/>
    <x v="0"/>
  </r>
  <r>
    <s v="male"/>
    <s v="group E"/>
    <x v="1"/>
    <s v="standard"/>
    <x v="0"/>
    <n v="97"/>
    <n v="80"/>
    <n v="88"/>
    <n v="88.333333333333329"/>
    <x v="2"/>
    <x v="0"/>
  </r>
  <r>
    <s v="female"/>
    <s v="group E"/>
    <x v="0"/>
    <s v="free/reduced"/>
    <x v="1"/>
    <n v="33"/>
    <n v="32"/>
    <n v="35"/>
    <n v="33.333333333333336"/>
    <x v="3"/>
    <x v="1"/>
  </r>
  <r>
    <s v="male"/>
    <s v="group B"/>
    <x v="5"/>
    <s v="free/reduced"/>
    <x v="1"/>
    <n v="38"/>
    <n v="40"/>
    <n v="41"/>
    <n v="39.666666666666664"/>
    <x v="3"/>
    <x v="1"/>
  </r>
  <r>
    <s v="male"/>
    <s v="group C"/>
    <x v="2"/>
    <s v="standard"/>
    <x v="0"/>
    <n v="46"/>
    <n v="51"/>
    <n v="47"/>
    <n v="48"/>
    <x v="1"/>
    <x v="0"/>
  </r>
  <r>
    <s v="female"/>
    <s v="group D"/>
    <x v="2"/>
    <s v="free/reduced"/>
    <x v="1"/>
    <n v="13"/>
    <n v="36"/>
    <n v="37"/>
    <n v="28.666666666666668"/>
    <x v="3"/>
    <x v="1"/>
  </r>
  <r>
    <s v="male"/>
    <s v="group A"/>
    <x v="5"/>
    <s v="standard"/>
    <x v="1"/>
    <n v="85"/>
    <n v="83"/>
    <n v="78"/>
    <n v="82"/>
    <x v="2"/>
    <x v="0"/>
  </r>
  <r>
    <s v="female"/>
    <s v="group B"/>
    <x v="2"/>
    <s v="standard"/>
    <x v="1"/>
    <n v="79"/>
    <n v="79"/>
    <n v="80"/>
    <n v="79.333333333333329"/>
    <x v="0"/>
    <x v="0"/>
  </r>
  <r>
    <s v="female"/>
    <s v="group B"/>
    <x v="1"/>
    <s v="standard"/>
    <x v="1"/>
    <n v="76"/>
    <n v="81"/>
    <n v="79"/>
    <n v="78.666666666666671"/>
    <x v="0"/>
    <x v="0"/>
  </r>
  <r>
    <s v="female"/>
    <s v="group C"/>
    <x v="1"/>
    <s v="free/reduced"/>
    <x v="0"/>
    <n v="53"/>
    <n v="70"/>
    <n v="65"/>
    <n v="62.666666666666664"/>
    <x v="0"/>
    <x v="0"/>
  </r>
  <r>
    <s v="male"/>
    <s v="group A"/>
    <x v="0"/>
    <s v="standard"/>
    <x v="0"/>
    <n v="68"/>
    <n v="70"/>
    <n v="63"/>
    <n v="67"/>
    <x v="0"/>
    <x v="0"/>
  </r>
  <r>
    <s v="male"/>
    <s v="group D"/>
    <x v="3"/>
    <s v="free/reduced"/>
    <x v="0"/>
    <n v="67"/>
    <n v="70"/>
    <n v="70"/>
    <n v="69"/>
    <x v="0"/>
    <x v="0"/>
  </r>
  <r>
    <s v="male"/>
    <s v="group E"/>
    <x v="2"/>
    <s v="standard"/>
    <x v="0"/>
    <n v="100"/>
    <n v="84"/>
    <n v="88"/>
    <n v="90.666666666666671"/>
    <x v="2"/>
    <x v="0"/>
  </r>
  <r>
    <s v="male"/>
    <s v="group C"/>
    <x v="3"/>
    <s v="free/reduced"/>
    <x v="1"/>
    <n v="54"/>
    <n v="48"/>
    <n v="45"/>
    <n v="49"/>
    <x v="1"/>
    <x v="0"/>
  </r>
  <r>
    <s v="female"/>
    <s v="group E"/>
    <x v="3"/>
    <s v="free/reduced"/>
    <x v="1"/>
    <n v="72"/>
    <n v="73"/>
    <n v="70"/>
    <n v="71.666666666666671"/>
    <x v="0"/>
    <x v="0"/>
  </r>
  <r>
    <s v="male"/>
    <s v="group A"/>
    <x v="2"/>
    <s v="standard"/>
    <x v="0"/>
    <n v="91"/>
    <n v="97"/>
    <n v="95"/>
    <n v="94.333333333333329"/>
    <x v="2"/>
    <x v="0"/>
  </r>
  <r>
    <s v="male"/>
    <s v="group D"/>
    <x v="5"/>
    <s v="standard"/>
    <x v="0"/>
    <n v="87"/>
    <n v="81"/>
    <n v="86"/>
    <n v="84.666666666666671"/>
    <x v="2"/>
    <x v="0"/>
  </r>
  <r>
    <s v="female"/>
    <s v="group D"/>
    <x v="3"/>
    <s v="free/reduced"/>
    <x v="1"/>
    <n v="66"/>
    <n v="75"/>
    <n v="74"/>
    <n v="71.666666666666671"/>
    <x v="0"/>
    <x v="0"/>
  </r>
  <r>
    <s v="male"/>
    <s v="group C"/>
    <x v="1"/>
    <s v="standard"/>
    <x v="1"/>
    <n v="65"/>
    <n v="66"/>
    <n v="64"/>
    <n v="65"/>
    <x v="0"/>
    <x v="0"/>
  </r>
  <r>
    <s v="female"/>
    <s v="group E"/>
    <x v="3"/>
    <s v="free/reduced"/>
    <x v="0"/>
    <n v="41"/>
    <n v="56"/>
    <n v="53"/>
    <n v="50"/>
    <x v="1"/>
    <x v="0"/>
  </r>
  <r>
    <s v="female"/>
    <s v="group C"/>
    <x v="3"/>
    <s v="standard"/>
    <x v="1"/>
    <n v="67"/>
    <n v="69"/>
    <n v="65"/>
    <n v="67"/>
    <x v="0"/>
    <x v="0"/>
  </r>
  <r>
    <s v="male"/>
    <s v="group E"/>
    <x v="0"/>
    <s v="standard"/>
    <x v="1"/>
    <n v="94"/>
    <n v="89"/>
    <n v="86"/>
    <n v="89.666666666666671"/>
    <x v="2"/>
    <x v="0"/>
  </r>
  <r>
    <s v="female"/>
    <s v="group B"/>
    <x v="4"/>
    <s v="free/reduced"/>
    <x v="0"/>
    <n v="57"/>
    <n v="70"/>
    <n v="68"/>
    <n v="65"/>
    <x v="0"/>
    <x v="0"/>
  </r>
  <r>
    <s v="male"/>
    <s v="group A"/>
    <x v="0"/>
    <s v="standard"/>
    <x v="1"/>
    <n v="89"/>
    <n v="83"/>
    <n v="80"/>
    <n v="84"/>
    <x v="2"/>
    <x v="0"/>
  </r>
  <r>
    <s v="male"/>
    <s v="group A"/>
    <x v="3"/>
    <s v="standard"/>
    <x v="0"/>
    <n v="77"/>
    <n v="73"/>
    <n v="80"/>
    <n v="76.666666666666671"/>
    <x v="0"/>
    <x v="0"/>
  </r>
  <r>
    <s v="male"/>
    <s v="group C"/>
    <x v="1"/>
    <s v="standard"/>
    <x v="1"/>
    <n v="57"/>
    <n v="60"/>
    <n v="50"/>
    <n v="55.666666666666664"/>
    <x v="1"/>
    <x v="0"/>
  </r>
  <r>
    <s v="male"/>
    <s v="group D"/>
    <x v="2"/>
    <s v="standard"/>
    <x v="0"/>
    <n v="72"/>
    <n v="72"/>
    <n v="72"/>
    <n v="72"/>
    <x v="0"/>
    <x v="0"/>
  </r>
  <r>
    <s v="male"/>
    <s v="group D"/>
    <x v="4"/>
    <s v="standard"/>
    <x v="0"/>
    <n v="98"/>
    <n v="94"/>
    <n v="95"/>
    <n v="95.666666666666671"/>
    <x v="2"/>
    <x v="0"/>
  </r>
  <r>
    <s v="female"/>
    <s v="group D"/>
    <x v="5"/>
    <s v="standard"/>
    <x v="1"/>
    <n v="87"/>
    <n v="97"/>
    <n v="100"/>
    <n v="94.666666666666671"/>
    <x v="2"/>
    <x v="0"/>
  </r>
  <r>
    <s v="male"/>
    <s v="group C"/>
    <x v="1"/>
    <s v="free/reduced"/>
    <x v="1"/>
    <n v="61"/>
    <n v="57"/>
    <n v="55"/>
    <n v="57.666666666666664"/>
    <x v="1"/>
    <x v="0"/>
  </r>
  <r>
    <s v="female"/>
    <s v="group C"/>
    <x v="5"/>
    <s v="standard"/>
    <x v="1"/>
    <n v="85"/>
    <n v="100"/>
    <n v="97"/>
    <n v="94"/>
    <x v="2"/>
    <x v="0"/>
  </r>
  <r>
    <s v="female"/>
    <s v="group D"/>
    <x v="1"/>
    <s v="standard"/>
    <x v="1"/>
    <n v="81"/>
    <n v="85"/>
    <n v="91"/>
    <n v="85.666666666666671"/>
    <x v="2"/>
    <x v="0"/>
  </r>
  <r>
    <s v="female"/>
    <s v="group D"/>
    <x v="0"/>
    <s v="standard"/>
    <x v="0"/>
    <n v="74"/>
    <n v="84"/>
    <n v="79"/>
    <n v="79"/>
    <x v="0"/>
    <x v="0"/>
  </r>
  <r>
    <s v="male"/>
    <s v="group C"/>
    <x v="4"/>
    <s v="standard"/>
    <x v="1"/>
    <n v="98"/>
    <n v="92"/>
    <n v="90"/>
    <n v="93.333333333333329"/>
    <x v="2"/>
    <x v="0"/>
  </r>
  <r>
    <s v="female"/>
    <s v="group D"/>
    <x v="2"/>
    <s v="standard"/>
    <x v="1"/>
    <n v="86"/>
    <n v="84"/>
    <n v="89"/>
    <n v="86.333333333333329"/>
    <x v="2"/>
    <x v="0"/>
  </r>
  <r>
    <s v="male"/>
    <s v="group C"/>
    <x v="4"/>
    <s v="standard"/>
    <x v="0"/>
    <n v="85"/>
    <n v="81"/>
    <n v="82"/>
    <n v="82.666666666666671"/>
    <x v="2"/>
    <x v="0"/>
  </r>
  <r>
    <s v="male"/>
    <s v="group C"/>
    <x v="2"/>
    <s v="standard"/>
    <x v="1"/>
    <n v="68"/>
    <n v="71"/>
    <n v="63"/>
    <n v="67.333333333333329"/>
    <x v="0"/>
    <x v="0"/>
  </r>
  <r>
    <s v="female"/>
    <s v="group E"/>
    <x v="0"/>
    <s v="free/reduced"/>
    <x v="0"/>
    <n v="66"/>
    <n v="78"/>
    <n v="77"/>
    <n v="73.666666666666671"/>
    <x v="0"/>
    <x v="0"/>
  </r>
  <r>
    <s v="male"/>
    <s v="group B"/>
    <x v="1"/>
    <s v="free/reduced"/>
    <x v="0"/>
    <n v="75"/>
    <n v="74"/>
    <n v="71"/>
    <n v="73.333333333333329"/>
    <x v="0"/>
    <x v="0"/>
  </r>
  <r>
    <s v="male"/>
    <s v="group C"/>
    <x v="4"/>
    <s v="standard"/>
    <x v="1"/>
    <n v="79"/>
    <n v="57"/>
    <n v="58"/>
    <n v="64.666666666666671"/>
    <x v="0"/>
    <x v="0"/>
  </r>
  <r>
    <s v="female"/>
    <s v="group B"/>
    <x v="4"/>
    <s v="free/reduced"/>
    <x v="1"/>
    <n v="59"/>
    <n v="85"/>
    <n v="82"/>
    <n v="75.333333333333329"/>
    <x v="0"/>
    <x v="0"/>
  </r>
  <r>
    <s v="male"/>
    <s v="group B"/>
    <x v="5"/>
    <s v="free/reduced"/>
    <x v="1"/>
    <n v="60"/>
    <n v="62"/>
    <n v="58"/>
    <n v="60"/>
    <x v="0"/>
    <x v="0"/>
  </r>
  <r>
    <s v="male"/>
    <s v="group D"/>
    <x v="0"/>
    <s v="standard"/>
    <x v="1"/>
    <n v="69"/>
    <n v="60"/>
    <n v="54"/>
    <n v="61"/>
    <x v="0"/>
    <x v="0"/>
  </r>
  <r>
    <s v="female"/>
    <s v="group B"/>
    <x v="0"/>
    <s v="free/reduced"/>
    <x v="1"/>
    <n v="49"/>
    <n v="54"/>
    <n v="58"/>
    <n v="53.666666666666664"/>
    <x v="1"/>
    <x v="0"/>
  </r>
  <r>
    <s v="male"/>
    <s v="group D"/>
    <x v="2"/>
    <s v="standard"/>
    <x v="1"/>
    <n v="62"/>
    <n v="44"/>
    <n v="52"/>
    <n v="52.666666666666664"/>
    <x v="1"/>
    <x v="0"/>
  </r>
  <r>
    <s v="female"/>
    <s v="group E"/>
    <x v="0"/>
    <s v="free/reduced"/>
    <x v="0"/>
    <n v="70"/>
    <n v="84"/>
    <n v="83"/>
    <n v="79"/>
    <x v="0"/>
    <x v="0"/>
  </r>
  <r>
    <s v="male"/>
    <s v="group D"/>
    <x v="4"/>
    <s v="standard"/>
    <x v="1"/>
    <n v="71"/>
    <n v="57"/>
    <n v="60"/>
    <n v="62.666666666666664"/>
    <x v="0"/>
    <x v="0"/>
  </r>
  <r>
    <s v="male"/>
    <s v="group C"/>
    <x v="4"/>
    <s v="standard"/>
    <x v="1"/>
    <n v="71"/>
    <n v="69"/>
    <n v="65"/>
    <n v="68.333333333333329"/>
    <x v="0"/>
    <x v="0"/>
  </r>
  <r>
    <s v="female"/>
    <s v="group C"/>
    <x v="1"/>
    <s v="free/reduced"/>
    <x v="1"/>
    <n v="50"/>
    <n v="59"/>
    <n v="54"/>
    <n v="54.333333333333336"/>
    <x v="1"/>
    <x v="0"/>
  </r>
  <r>
    <s v="female"/>
    <s v="group B"/>
    <x v="0"/>
    <s v="standard"/>
    <x v="1"/>
    <n v="52"/>
    <n v="55"/>
    <n v="57"/>
    <n v="54.666666666666664"/>
    <x v="1"/>
    <x v="0"/>
  </r>
  <r>
    <s v="male"/>
    <s v="group E"/>
    <x v="2"/>
    <s v="free/reduced"/>
    <x v="0"/>
    <n v="75"/>
    <n v="65"/>
    <n v="66"/>
    <n v="68.666666666666671"/>
    <x v="0"/>
    <x v="0"/>
  </r>
  <r>
    <s v="female"/>
    <s v="group C"/>
    <x v="4"/>
    <s v="standard"/>
    <x v="1"/>
    <n v="51"/>
    <n v="64"/>
    <n v="63"/>
    <n v="59.333333333333336"/>
    <x v="1"/>
    <x v="0"/>
  </r>
  <r>
    <s v="male"/>
    <s v="group C"/>
    <x v="1"/>
    <s v="standard"/>
    <x v="1"/>
    <n v="64"/>
    <n v="48"/>
    <n v="50"/>
    <n v="54"/>
    <x v="1"/>
    <x v="0"/>
  </r>
  <r>
    <s v="female"/>
    <s v="group A"/>
    <x v="2"/>
    <s v="free/reduced"/>
    <x v="0"/>
    <n v="65"/>
    <n v="76"/>
    <n v="72"/>
    <n v="71"/>
    <x v="0"/>
    <x v="0"/>
  </r>
  <r>
    <s v="male"/>
    <s v="group B"/>
    <x v="5"/>
    <s v="standard"/>
    <x v="1"/>
    <n v="99"/>
    <n v="81"/>
    <n v="87"/>
    <n v="89"/>
    <x v="2"/>
    <x v="0"/>
  </r>
  <r>
    <s v="female"/>
    <s v="group B"/>
    <x v="3"/>
    <s v="standard"/>
    <x v="1"/>
    <n v="60"/>
    <n v="62"/>
    <n v="58"/>
    <n v="60"/>
    <x v="0"/>
    <x v="0"/>
  </r>
  <r>
    <s v="female"/>
    <s v="group B"/>
    <x v="2"/>
    <s v="standard"/>
    <x v="1"/>
    <n v="70"/>
    <n v="78"/>
    <n v="80"/>
    <n v="76"/>
    <x v="0"/>
    <x v="0"/>
  </r>
  <r>
    <s v="male"/>
    <s v="group A"/>
    <x v="2"/>
    <s v="standard"/>
    <x v="0"/>
    <n v="77"/>
    <n v="76"/>
    <n v="77"/>
    <n v="76.666666666666671"/>
    <x v="0"/>
    <x v="0"/>
  </r>
  <r>
    <s v="male"/>
    <s v="group B"/>
    <x v="0"/>
    <s v="free/reduced"/>
    <x v="1"/>
    <n v="37"/>
    <n v="28"/>
    <n v="23"/>
    <n v="29.333333333333332"/>
    <x v="3"/>
    <x v="1"/>
  </r>
  <r>
    <s v="male"/>
    <s v="group E"/>
    <x v="3"/>
    <s v="free/reduced"/>
    <x v="1"/>
    <n v="73"/>
    <n v="73"/>
    <n v="61"/>
    <n v="69"/>
    <x v="0"/>
    <x v="0"/>
  </r>
  <r>
    <s v="female"/>
    <s v="group B"/>
    <x v="3"/>
    <s v="free/reduced"/>
    <x v="0"/>
    <n v="53"/>
    <n v="74"/>
    <n v="75"/>
    <n v="67.333333333333329"/>
    <x v="0"/>
    <x v="0"/>
  </r>
  <r>
    <s v="female"/>
    <s v="group B"/>
    <x v="3"/>
    <s v="standard"/>
    <x v="1"/>
    <n v="67"/>
    <n v="58"/>
    <n v="62"/>
    <n v="62.333333333333336"/>
    <x v="0"/>
    <x v="0"/>
  </r>
  <r>
    <s v="female"/>
    <s v="group B"/>
    <x v="2"/>
    <s v="free/reduced"/>
    <x v="1"/>
    <n v="67"/>
    <n v="79"/>
    <n v="80"/>
    <n v="75.333333333333329"/>
    <x v="0"/>
    <x v="0"/>
  </r>
  <r>
    <s v="male"/>
    <s v="group B"/>
    <x v="0"/>
    <s v="free/reduced"/>
    <x v="1"/>
    <n v="51"/>
    <n v="57"/>
    <n v="50"/>
    <n v="52.666666666666664"/>
    <x v="1"/>
    <x v="0"/>
  </r>
  <r>
    <s v="male"/>
    <s v="group D"/>
    <x v="0"/>
    <s v="standard"/>
    <x v="0"/>
    <n v="64"/>
    <n v="71"/>
    <n v="70"/>
    <n v="68.333333333333329"/>
    <x v="0"/>
    <x v="0"/>
  </r>
  <r>
    <s v="male"/>
    <s v="group E"/>
    <x v="2"/>
    <s v="free/reduced"/>
    <x v="1"/>
    <n v="55"/>
    <n v="42"/>
    <n v="43"/>
    <n v="46.666666666666664"/>
    <x v="1"/>
    <x v="0"/>
  </r>
  <r>
    <s v="male"/>
    <s v="group D"/>
    <x v="3"/>
    <s v="free/reduced"/>
    <x v="0"/>
    <n v="55"/>
    <n v="39"/>
    <n v="51"/>
    <n v="48.333333333333336"/>
    <x v="1"/>
    <x v="0"/>
  </r>
  <r>
    <s v="male"/>
    <s v="group E"/>
    <x v="3"/>
    <s v="standard"/>
    <x v="1"/>
    <n v="86"/>
    <n v="77"/>
    <n v="78"/>
    <n v="80.333333333333329"/>
    <x v="2"/>
    <x v="0"/>
  </r>
  <r>
    <s v="female"/>
    <s v="group B"/>
    <x v="5"/>
    <s v="standard"/>
    <x v="1"/>
    <n v="71"/>
    <n v="88"/>
    <n v="85"/>
    <n v="81.333333333333329"/>
    <x v="2"/>
    <x v="0"/>
  </r>
  <r>
    <s v="male"/>
    <s v="group C"/>
    <x v="0"/>
    <s v="free/reduced"/>
    <x v="1"/>
    <n v="71"/>
    <n v="63"/>
    <n v="64"/>
    <n v="66"/>
    <x v="0"/>
    <x v="0"/>
  </r>
  <r>
    <s v="female"/>
    <s v="group C"/>
    <x v="1"/>
    <s v="free/reduced"/>
    <x v="1"/>
    <n v="51"/>
    <n v="67"/>
    <n v="69"/>
    <n v="62.333333333333336"/>
    <x v="0"/>
    <x v="0"/>
  </r>
  <r>
    <s v="female"/>
    <s v="group E"/>
    <x v="2"/>
    <s v="standard"/>
    <x v="0"/>
    <n v="75"/>
    <n v="76"/>
    <n v="85"/>
    <n v="78.666666666666671"/>
    <x v="0"/>
    <x v="0"/>
  </r>
  <r>
    <s v="male"/>
    <s v="group C"/>
    <x v="1"/>
    <s v="free/reduced"/>
    <x v="1"/>
    <n v="45"/>
    <n v="31"/>
    <n v="27"/>
    <n v="34.333333333333336"/>
    <x v="3"/>
    <x v="1"/>
  </r>
  <r>
    <s v="male"/>
    <s v="group B"/>
    <x v="1"/>
    <s v="standard"/>
    <x v="1"/>
    <n v="59"/>
    <n v="54"/>
    <n v="48"/>
    <n v="53.666666666666664"/>
    <x v="1"/>
    <x v="0"/>
  </r>
  <r>
    <s v="female"/>
    <s v="group E"/>
    <x v="0"/>
    <s v="free/reduced"/>
    <x v="1"/>
    <n v="64"/>
    <n v="69"/>
    <n v="68"/>
    <n v="67"/>
    <x v="0"/>
    <x v="0"/>
  </r>
  <r>
    <s v="male"/>
    <s v="group A"/>
    <x v="2"/>
    <s v="standard"/>
    <x v="0"/>
    <n v="78"/>
    <n v="69"/>
    <n v="73"/>
    <n v="73.333333333333329"/>
    <x v="0"/>
    <x v="0"/>
  </r>
  <r>
    <s v="male"/>
    <s v="group D"/>
    <x v="0"/>
    <s v="free/reduced"/>
    <x v="1"/>
    <n v="59"/>
    <n v="61"/>
    <n v="58"/>
    <n v="59.333333333333336"/>
    <x v="1"/>
    <x v="0"/>
  </r>
  <r>
    <s v="male"/>
    <s v="group E"/>
    <x v="4"/>
    <s v="free/reduced"/>
    <x v="1"/>
    <n v="80"/>
    <n v="70"/>
    <n v="71"/>
    <n v="73.666666666666671"/>
    <x v="0"/>
    <x v="0"/>
  </r>
  <r>
    <s v="male"/>
    <s v="group B"/>
    <x v="3"/>
    <s v="standard"/>
    <x v="0"/>
    <n v="68"/>
    <n v="82"/>
    <n v="77"/>
    <n v="75.666666666666671"/>
    <x v="0"/>
    <x v="0"/>
  </r>
  <r>
    <s v="female"/>
    <s v="group B"/>
    <x v="3"/>
    <s v="standard"/>
    <x v="1"/>
    <n v="77"/>
    <n v="81"/>
    <n v="79"/>
    <n v="79"/>
    <x v="0"/>
    <x v="0"/>
  </r>
  <r>
    <s v="male"/>
    <s v="group C"/>
    <x v="0"/>
    <s v="standard"/>
    <x v="1"/>
    <n v="66"/>
    <n v="67"/>
    <n v="64"/>
    <n v="65.666666666666671"/>
    <x v="0"/>
    <x v="0"/>
  </r>
  <r>
    <s v="female"/>
    <s v="group C"/>
    <x v="2"/>
    <s v="free/reduced"/>
    <x v="0"/>
    <n v="26"/>
    <n v="44"/>
    <n v="46"/>
    <n v="38.666666666666664"/>
    <x v="3"/>
    <x v="1"/>
  </r>
  <r>
    <s v="male"/>
    <s v="group D"/>
    <x v="2"/>
    <s v="standard"/>
    <x v="0"/>
    <n v="80"/>
    <n v="66"/>
    <n v="69"/>
    <n v="71.666666666666671"/>
    <x v="0"/>
    <x v="0"/>
  </r>
  <r>
    <s v="female"/>
    <s v="group D"/>
    <x v="1"/>
    <s v="free/reduced"/>
    <x v="1"/>
    <n v="48"/>
    <n v="62"/>
    <n v="61"/>
    <n v="57"/>
    <x v="1"/>
    <x v="0"/>
  </r>
  <r>
    <s v="female"/>
    <s v="group A"/>
    <x v="3"/>
    <s v="standard"/>
    <x v="1"/>
    <n v="52"/>
    <n v="64"/>
    <n v="55"/>
    <n v="57"/>
    <x v="1"/>
    <x v="0"/>
  </r>
  <r>
    <s v="female"/>
    <s v="group D"/>
    <x v="5"/>
    <s v="free/reduced"/>
    <x v="1"/>
    <n v="54"/>
    <n v="64"/>
    <n v="64"/>
    <n v="60.666666666666664"/>
    <x v="0"/>
    <x v="0"/>
  </r>
  <r>
    <s v="female"/>
    <s v="group C"/>
    <x v="2"/>
    <s v="standard"/>
    <x v="0"/>
    <n v="59"/>
    <n v="68"/>
    <n v="67"/>
    <n v="64.666666666666671"/>
    <x v="0"/>
    <x v="0"/>
  </r>
  <r>
    <s v="gender"/>
    <s v="race/ethnicity"/>
    <x v="6"/>
    <s v="lunch"/>
    <x v="2"/>
    <s v="math score"/>
    <s v="reading score"/>
    <s v="writing score"/>
    <e v="#DIV/0!"/>
    <x v="4"/>
    <x v="2"/>
  </r>
  <r>
    <s v="male"/>
    <s v="group A"/>
    <x v="0"/>
    <s v="standard"/>
    <x v="0"/>
    <n v="67.422391375727699"/>
    <n v="70.233958311862906"/>
    <n v="68.882094520912403"/>
    <n v="68.846148069500998"/>
    <x v="0"/>
    <x v="0"/>
  </r>
  <r>
    <s v="female"/>
    <s v="group D"/>
    <x v="1"/>
    <s v="free/reduced"/>
    <x v="1"/>
    <n v="67.424507972964193"/>
    <n v="70.236148499465699"/>
    <n v="68.884266525054699"/>
    <n v="68.848307665828187"/>
    <x v="0"/>
    <x v="0"/>
  </r>
  <r>
    <s v="male"/>
    <s v="group E"/>
    <x v="2"/>
    <s v="free/reduced"/>
    <x v="1"/>
    <n v="67.426624570200602"/>
    <n v="70.238338687068506"/>
    <n v="68.886438529196894"/>
    <n v="68.850467262155334"/>
    <x v="0"/>
    <x v="0"/>
  </r>
  <r>
    <s v="male"/>
    <s v="group B"/>
    <x v="0"/>
    <s v="standard"/>
    <x v="1"/>
    <n v="67.428741167437096"/>
    <n v="70.240528874671298"/>
    <n v="68.888610533339204"/>
    <n v="68.852626858482537"/>
    <x v="0"/>
    <x v="0"/>
  </r>
  <r>
    <s v="male"/>
    <s v="group E"/>
    <x v="3"/>
    <s v="standard"/>
    <x v="0"/>
    <n v="67.430857764673604"/>
    <n v="70.242719062274105"/>
    <n v="68.890782537481499"/>
    <n v="68.854786454809741"/>
    <x v="0"/>
    <x v="0"/>
  </r>
  <r>
    <s v="female"/>
    <s v="group D"/>
    <x v="0"/>
    <s v="standard"/>
    <x v="1"/>
    <n v="67.432974361909999"/>
    <n v="70.244909249876798"/>
    <n v="68.892954541623794"/>
    <n v="68.856946051136859"/>
    <x v="0"/>
    <x v="0"/>
  </r>
  <r>
    <s v="female"/>
    <s v="group A"/>
    <x v="4"/>
    <s v="standard"/>
    <x v="1"/>
    <n v="67.435090959146507"/>
    <n v="70.247099437479605"/>
    <n v="68.895126545766004"/>
    <n v="68.859105647464034"/>
    <x v="0"/>
    <x v="0"/>
  </r>
  <r>
    <s v="male"/>
    <s v="group E"/>
    <x v="2"/>
    <s v="standard"/>
    <x v="0"/>
    <n v="67.437207556383001"/>
    <n v="70.249289625082397"/>
    <n v="68.897298549908299"/>
    <n v="68.861265243791237"/>
    <x v="0"/>
    <x v="0"/>
  </r>
  <r>
    <s v="male"/>
    <s v="group D"/>
    <x v="0"/>
    <s v="standard"/>
    <x v="1"/>
    <n v="67.439324153619495"/>
    <n v="70.251479812685204"/>
    <n v="68.899470554050595"/>
    <n v="68.863424840118441"/>
    <x v="0"/>
    <x v="0"/>
  </r>
  <r>
    <s v="male"/>
    <s v="group C"/>
    <x v="2"/>
    <s v="free/reduced"/>
    <x v="1"/>
    <n v="67.441440750855904"/>
    <n v="70.253670000287997"/>
    <n v="68.901642558192904"/>
    <n v="68.865584436445602"/>
    <x v="0"/>
    <x v="0"/>
  </r>
  <r>
    <s v="male"/>
    <s v="group E"/>
    <x v="2"/>
    <s v="standard"/>
    <x v="0"/>
    <n v="67.443557348092398"/>
    <n v="70.255860187890804"/>
    <n v="68.903814562335199"/>
    <n v="68.867744032772805"/>
    <x v="0"/>
    <x v="0"/>
  </r>
  <r>
    <s v="female"/>
    <s v="group D"/>
    <x v="0"/>
    <s v="standard"/>
    <x v="0"/>
    <n v="67.445673945328807"/>
    <n v="70.258050375493596"/>
    <n v="68.905986566477395"/>
    <n v="68.869903629099937"/>
    <x v="0"/>
    <x v="0"/>
  </r>
  <r>
    <s v="male"/>
    <s v="group D"/>
    <x v="3"/>
    <s v="standard"/>
    <x v="0"/>
    <n v="67.447790542565301"/>
    <n v="70.260240563096303"/>
    <n v="68.908158570619705"/>
    <n v="68.872063225427098"/>
    <x v="0"/>
    <x v="0"/>
  </r>
  <r>
    <s v="male"/>
    <s v="group C"/>
    <x v="0"/>
    <s v="standard"/>
    <x v="0"/>
    <n v="67.449907139801795"/>
    <n v="70.262430750699096"/>
    <n v="68.910330574762"/>
    <n v="68.874222821754302"/>
    <x v="0"/>
    <x v="0"/>
  </r>
  <r>
    <s v="male"/>
    <s v="group E"/>
    <x v="1"/>
    <s v="standard"/>
    <x v="0"/>
    <n v="67.452023737038203"/>
    <n v="70.264620938301903"/>
    <n v="68.912502578904295"/>
    <n v="68.876382418081462"/>
    <x v="0"/>
    <x v="0"/>
  </r>
  <r>
    <s v="male"/>
    <s v="group E"/>
    <x v="3"/>
    <s v="free/reduced"/>
    <x v="1"/>
    <n v="67.454140334274697"/>
    <n v="70.266811125904695"/>
    <n v="68.914674583046505"/>
    <n v="68.878542014408637"/>
    <x v="0"/>
    <x v="0"/>
  </r>
  <r>
    <s v="male"/>
    <s v="group B"/>
    <x v="0"/>
    <s v="standard"/>
    <x v="1"/>
    <n v="67.456256931511206"/>
    <n v="70.269001313507502"/>
    <n v="68.9168465871888"/>
    <n v="68.880701610735841"/>
    <x v="0"/>
    <x v="0"/>
  </r>
  <r>
    <s v="female"/>
    <s v="group C"/>
    <x v="3"/>
    <s v="standard"/>
    <x v="0"/>
    <n v="67.4583735287477"/>
    <n v="70.271191501110295"/>
    <n v="68.919018591331096"/>
    <n v="68.882861207063044"/>
    <x v="0"/>
    <x v="0"/>
  </r>
  <r>
    <s v="female"/>
    <s v="group C"/>
    <x v="3"/>
    <s v="free/reduced"/>
    <x v="1"/>
    <n v="67.460490125984094"/>
    <n v="70.273381688713101"/>
    <n v="68.921190595473405"/>
    <n v="68.885020803390191"/>
    <x v="0"/>
    <x v="0"/>
  </r>
  <r>
    <s v="male"/>
    <s v="group C"/>
    <x v="2"/>
    <s v="free/reduced"/>
    <x v="1"/>
    <n v="67.462606723220603"/>
    <n v="70.275571876315894"/>
    <n v="68.9233625996157"/>
    <n v="68.887180399717394"/>
    <x v="0"/>
    <x v="0"/>
  </r>
  <r>
    <s v="female"/>
    <s v="group C"/>
    <x v="3"/>
    <s v="standard"/>
    <x v="1"/>
    <n v="67.464723320457097"/>
    <n v="70.277762063918601"/>
    <n v="68.925534603757896"/>
    <n v="68.889339996044541"/>
    <x v="0"/>
    <x v="0"/>
  </r>
  <r>
    <s v="male"/>
    <s v="group C"/>
    <x v="3"/>
    <s v="standard"/>
    <x v="1"/>
    <n v="67.466839917693505"/>
    <n v="70.279952251521394"/>
    <n v="68.927706607900205"/>
    <n v="68.891499592371702"/>
    <x v="0"/>
    <x v="0"/>
  </r>
  <r>
    <s v="male"/>
    <s v="group B"/>
    <x v="2"/>
    <s v="standard"/>
    <x v="0"/>
    <n v="67.468956514929999"/>
    <n v="70.2821424391242"/>
    <n v="68.929878612042501"/>
    <n v="68.893659188698905"/>
    <x v="0"/>
    <x v="0"/>
  </r>
  <r>
    <s v="female"/>
    <s v="group B"/>
    <x v="2"/>
    <s v="free/reduced"/>
    <x v="1"/>
    <n v="67.471073112166494"/>
    <n v="70.284332626726993"/>
    <n v="68.932050616184796"/>
    <n v="68.895818785026094"/>
    <x v="0"/>
    <x v="0"/>
  </r>
  <r>
    <s v="male"/>
    <s v="group E"/>
    <x v="1"/>
    <s v="free/reduced"/>
    <x v="1"/>
    <n v="67.473189709402902"/>
    <n v="70.2865228143298"/>
    <n v="68.934222620327006"/>
    <n v="68.897978381353241"/>
    <x v="0"/>
    <x v="0"/>
  </r>
  <r>
    <s v="male"/>
    <s v="group C"/>
    <x v="0"/>
    <s v="free/reduced"/>
    <x v="1"/>
    <n v="67.475306306639396"/>
    <n v="70.288713001932607"/>
    <n v="68.936394624469301"/>
    <n v="68.900137977680444"/>
    <x v="0"/>
    <x v="0"/>
  </r>
  <r>
    <s v="female"/>
    <s v="group C"/>
    <x v="1"/>
    <s v="standard"/>
    <x v="1"/>
    <n v="67.477422903875905"/>
    <n v="70.2909031895353"/>
    <n v="68.938566628611596"/>
    <n v="68.902297574007591"/>
    <x v="0"/>
    <x v="0"/>
  </r>
  <r>
    <s v="male"/>
    <s v="group E"/>
    <x v="0"/>
    <s v="standard"/>
    <x v="1"/>
    <n v="67.479539501112299"/>
    <n v="70.293093377138106"/>
    <n v="68.940738632753906"/>
    <n v="68.904457170334766"/>
    <x v="0"/>
    <x v="0"/>
  </r>
  <r>
    <s v="female"/>
    <s v="group B"/>
    <x v="0"/>
    <s v="standard"/>
    <x v="0"/>
    <n v="67.481656098348793"/>
    <n v="70.295283564740899"/>
    <n v="68.942910636896102"/>
    <n v="68.906616766661941"/>
    <x v="0"/>
    <x v="0"/>
  </r>
  <r>
    <s v="female"/>
    <s v="group A"/>
    <x v="1"/>
    <s v="free/reduced"/>
    <x v="1"/>
    <n v="67.483772695585301"/>
    <n v="70.297473752343706"/>
    <n v="68.945082641038397"/>
    <n v="68.90877636298913"/>
    <x v="0"/>
    <x v="0"/>
  </r>
  <r>
    <s v="male"/>
    <s v="group B"/>
    <x v="2"/>
    <s v="standard"/>
    <x v="1"/>
    <n v="67.485889292821696"/>
    <n v="70.299663939946498"/>
    <n v="68.947254645180706"/>
    <n v="68.910935959316305"/>
    <x v="0"/>
    <x v="0"/>
  </r>
  <r>
    <s v="male"/>
    <s v="group A"/>
    <x v="4"/>
    <s v="free/reduced"/>
    <x v="1"/>
    <n v="67.488005890058204"/>
    <n v="70.301854127549305"/>
    <n v="68.949426649323001"/>
    <n v="68.913095555643508"/>
    <x v="0"/>
    <x v="0"/>
  </r>
  <r>
    <s v="male"/>
    <s v="group A"/>
    <x v="1"/>
    <s v="free/reduced"/>
    <x v="0"/>
    <n v="67.490122487294698"/>
    <n v="70.304044315152098"/>
    <n v="68.951598653465297"/>
    <n v="68.915255151970698"/>
    <x v="0"/>
    <x v="0"/>
  </r>
  <r>
    <s v="female"/>
    <s v="group B"/>
    <x v="3"/>
    <s v="standard"/>
    <x v="0"/>
    <n v="67.492239084531107"/>
    <n v="70.306234502754805"/>
    <n v="68.953770657607507"/>
    <n v="68.917414748297801"/>
    <x v="0"/>
    <x v="0"/>
  </r>
  <r>
    <s v="female"/>
    <s v="group B"/>
    <x v="4"/>
    <s v="standard"/>
    <x v="0"/>
    <n v="67.494355681767601"/>
    <n v="70.308424690357597"/>
    <n v="68.955942661749802"/>
    <n v="68.919574344625005"/>
    <x v="0"/>
    <x v="0"/>
  </r>
  <r>
    <s v="female"/>
    <s v="group A"/>
    <x v="4"/>
    <s v="standard"/>
    <x v="1"/>
    <n v="67.496472279004095"/>
    <n v="70.310614877960404"/>
    <n v="68.958114665892097"/>
    <n v="68.921733940952194"/>
    <x v="0"/>
    <x v="0"/>
  </r>
  <r>
    <s v="female"/>
    <s v="group C"/>
    <x v="2"/>
    <s v="standard"/>
    <x v="0"/>
    <n v="67.498588876240504"/>
    <n v="70.312805065563197"/>
    <n v="68.960286670034407"/>
    <n v="68.923893537279369"/>
    <x v="0"/>
    <x v="0"/>
  </r>
  <r>
    <s v="male"/>
    <s v="group B"/>
    <x v="0"/>
    <s v="free/reduced"/>
    <x v="1"/>
    <n v="67.500705473476998"/>
    <n v="70.314995253166003"/>
    <n v="68.962458674176602"/>
    <n v="68.926053133606544"/>
    <x v="0"/>
    <x v="0"/>
  </r>
  <r>
    <s v="female"/>
    <s v="group B"/>
    <x v="2"/>
    <s v="free/reduced"/>
    <x v="0"/>
    <n v="67.502822070713506"/>
    <n v="70.317185440768796"/>
    <n v="68.964630678318898"/>
    <n v="68.928212729933719"/>
    <x v="0"/>
    <x v="0"/>
  </r>
  <r>
    <s v="male"/>
    <s v="group E"/>
    <x v="3"/>
    <s v="standard"/>
    <x v="1"/>
    <n v="67.504938667949901"/>
    <n v="70.319375628371503"/>
    <n v="68.966802682461207"/>
    <n v="68.930372326260866"/>
    <x v="0"/>
    <x v="0"/>
  </r>
  <r>
    <s v="female"/>
    <s v="group B"/>
    <x v="5"/>
    <s v="free/reduced"/>
    <x v="1"/>
    <n v="67.507055265186395"/>
    <n v="70.321565815974296"/>
    <n v="68.968974686603502"/>
    <n v="68.932531922588069"/>
    <x v="0"/>
    <x v="0"/>
  </r>
  <r>
    <s v="male"/>
    <s v="group D"/>
    <x v="0"/>
    <s v="standard"/>
    <x v="1"/>
    <n v="67.509171862422903"/>
    <n v="70.323756003577103"/>
    <n v="68.971146690745698"/>
    <n v="68.934691518915244"/>
    <x v="0"/>
    <x v="0"/>
  </r>
  <r>
    <s v="male"/>
    <s v="group E"/>
    <x v="0"/>
    <s v="standard"/>
    <x v="0"/>
    <n v="67.511288459659397"/>
    <n v="70.325946191179895"/>
    <n v="68.973318694887993"/>
    <n v="68.936851115242419"/>
    <x v="0"/>
    <x v="0"/>
  </r>
  <r>
    <s v="female"/>
    <s v="group C"/>
    <x v="5"/>
    <s v="standard"/>
    <x v="1"/>
    <n v="67.513405056895806"/>
    <n v="70.328136378782702"/>
    <n v="68.975490699030303"/>
    <n v="68.939010711569594"/>
    <x v="0"/>
    <x v="0"/>
  </r>
  <r>
    <s v="male"/>
    <s v="group E"/>
    <x v="0"/>
    <s v="standard"/>
    <x v="1"/>
    <n v="67.5155216541323"/>
    <n v="70.330326566385494"/>
    <n v="68.977662703172598"/>
    <n v="68.941170307896797"/>
    <x v="0"/>
    <x v="0"/>
  </r>
  <r>
    <s v="male"/>
    <s v="group C"/>
    <x v="4"/>
    <s v="standard"/>
    <x v="1"/>
    <n v="67.517638251368794"/>
    <n v="70.332516753988301"/>
    <n v="68.979834707314893"/>
    <n v="68.943329904224001"/>
    <x v="0"/>
    <x v="0"/>
  </r>
  <r>
    <s v="male"/>
    <s v="group C"/>
    <x v="3"/>
    <s v="free/reduced"/>
    <x v="1"/>
    <n v="67.519754848605203"/>
    <n v="70.334706941591094"/>
    <n v="68.982006711457103"/>
    <n v="68.945489500551133"/>
    <x v="0"/>
    <x v="0"/>
  </r>
  <r>
    <s v="female"/>
    <s v="group E"/>
    <x v="1"/>
    <s v="standard"/>
    <x v="0"/>
    <n v="67.521871445841697"/>
    <n v="70.336897129193801"/>
    <n v="68.984178715599398"/>
    <n v="68.947649096878294"/>
    <x v="0"/>
    <x v="0"/>
  </r>
  <r>
    <s v="female"/>
    <s v="group D"/>
    <x v="0"/>
    <s v="standard"/>
    <x v="1"/>
    <n v="67.523988043078106"/>
    <n v="70.339087316796594"/>
    <n v="68.986350719741694"/>
    <n v="68.949808693205469"/>
    <x v="0"/>
    <x v="0"/>
  </r>
  <r>
    <s v="male"/>
    <s v="group C"/>
    <x v="3"/>
    <s v="free/reduced"/>
    <x v="0"/>
    <n v="67.5261046403146"/>
    <n v="70.3412775043994"/>
    <n v="68.988522723884003"/>
    <n v="68.951968289532658"/>
    <x v="0"/>
    <x v="0"/>
  </r>
  <r>
    <s v="male"/>
    <s v="group D"/>
    <x v="0"/>
    <s v="standard"/>
    <x v="1"/>
    <n v="67.528221237551094"/>
    <n v="70.343467692002207"/>
    <n v="68.990694728026199"/>
    <n v="68.954127885859833"/>
    <x v="0"/>
    <x v="0"/>
  </r>
  <r>
    <s v="female"/>
    <s v="group C"/>
    <x v="1"/>
    <s v="free/reduced"/>
    <x v="1"/>
    <n v="67.530337834787602"/>
    <n v="70.345657879605"/>
    <n v="68.992866732168494"/>
    <n v="68.956287482187037"/>
    <x v="0"/>
    <x v="0"/>
  </r>
  <r>
    <s v="female"/>
    <s v="group C"/>
    <x v="3"/>
    <s v="standard"/>
    <x v="1"/>
    <n v="67.532454432023997"/>
    <n v="70.347848067207806"/>
    <n v="68.995038736310804"/>
    <n v="68.958447078514197"/>
    <x v="0"/>
    <x v="0"/>
  </r>
  <r>
    <s v="female"/>
    <s v="group C"/>
    <x v="0"/>
    <s v="free/reduced"/>
    <x v="1"/>
    <n v="67.534571029260505"/>
    <n v="70.350038254810499"/>
    <n v="68.997210740453099"/>
    <n v="68.960606674841372"/>
    <x v="0"/>
    <x v="0"/>
  </r>
  <r>
    <s v="male"/>
    <s v="group D"/>
    <x v="0"/>
    <s v="free/reduced"/>
    <x v="1"/>
    <n v="67.536687626496999"/>
    <n v="70.352228442413306"/>
    <n v="68.999382744595394"/>
    <n v="68.962766271168562"/>
    <x v="0"/>
    <x v="0"/>
  </r>
  <r>
    <s v="female"/>
    <s v="group C"/>
    <x v="2"/>
    <s v="standard"/>
    <x v="0"/>
    <n v="67.538804223733393"/>
    <n v="70.354418630016099"/>
    <n v="69.001554748737604"/>
    <n v="68.964925867495694"/>
    <x v="0"/>
    <x v="0"/>
  </r>
  <r>
    <s v="female"/>
    <s v="group C"/>
    <x v="4"/>
    <s v="standard"/>
    <x v="0"/>
    <n v="67.540920820969902"/>
    <n v="70.356608817618906"/>
    <n v="69.003726752879899"/>
    <n v="68.967085463822912"/>
    <x v="0"/>
    <x v="0"/>
  </r>
  <r>
    <s v="male"/>
    <s v="group D"/>
    <x v="3"/>
    <s v="standard"/>
    <x v="0"/>
    <n v="67.543037418206396"/>
    <n v="70.358799005221698"/>
    <n v="69.005898757022194"/>
    <n v="68.969245060150101"/>
    <x v="0"/>
    <x v="0"/>
  </r>
  <r>
    <s v="female"/>
    <s v="group D"/>
    <x v="2"/>
    <s v="free/reduced"/>
    <x v="1"/>
    <n v="67.545154015442805"/>
    <n v="70.360989192824505"/>
    <n v="69.008070761164504"/>
    <n v="68.971404656477276"/>
    <x v="0"/>
    <x v="0"/>
  </r>
  <r>
    <s v="male"/>
    <s v="group E"/>
    <x v="1"/>
    <s v="standard"/>
    <x v="1"/>
    <n v="67.547270612679299"/>
    <n v="70.363179380427297"/>
    <n v="69.0102427653067"/>
    <n v="68.973564252804422"/>
    <x v="0"/>
    <x v="0"/>
  </r>
  <r>
    <s v="male"/>
    <s v="group D"/>
    <x v="2"/>
    <s v="free/reduced"/>
    <x v="1"/>
    <n v="67.549387209915807"/>
    <n v="70.365369568030005"/>
    <n v="69.012414769448995"/>
    <n v="68.975723849131597"/>
    <x v="0"/>
    <x v="0"/>
  </r>
  <r>
    <s v="female"/>
    <s v="group E"/>
    <x v="1"/>
    <s v="standard"/>
    <x v="1"/>
    <n v="67.551503807152201"/>
    <n v="70.367559755632797"/>
    <n v="69.014586773591304"/>
    <n v="68.977883445458772"/>
    <x v="0"/>
    <x v="0"/>
  </r>
  <r>
    <s v="male"/>
    <s v="group E"/>
    <x v="1"/>
    <s v="standard"/>
    <x v="0"/>
    <n v="67.553620404388695"/>
    <n v="70.369749943235604"/>
    <n v="69.0167587777336"/>
    <n v="68.980043041785976"/>
    <x v="0"/>
    <x v="0"/>
  </r>
  <r>
    <s v="male"/>
    <s v="group A"/>
    <x v="4"/>
    <s v="standard"/>
    <x v="0"/>
    <n v="67.555737001625204"/>
    <n v="70.371940130838396"/>
    <n v="69.018930781875895"/>
    <n v="68.982202638113165"/>
    <x v="0"/>
    <x v="0"/>
  </r>
  <r>
    <s v="male"/>
    <s v="group D"/>
    <x v="5"/>
    <s v="standard"/>
    <x v="0"/>
    <n v="67.557853598861598"/>
    <n v="70.374130318441203"/>
    <n v="69.021102786018105"/>
    <n v="68.984362234440297"/>
    <x v="0"/>
    <x v="0"/>
  </r>
  <r>
    <s v="female"/>
    <s v="group C"/>
    <x v="1"/>
    <s v="free/reduced"/>
    <x v="0"/>
    <n v="67.559970196098106"/>
    <n v="70.376320506043996"/>
    <n v="69.0232747901604"/>
    <n v="68.986521830767501"/>
    <x v="0"/>
    <x v="0"/>
  </r>
  <r>
    <s v="male"/>
    <s v="group C"/>
    <x v="0"/>
    <s v="standard"/>
    <x v="1"/>
    <n v="67.562086793334601"/>
    <n v="70.378510693646803"/>
    <n v="69.025446794302695"/>
    <n v="68.988681427094704"/>
    <x v="0"/>
    <x v="0"/>
  </r>
  <r>
    <s v="female"/>
    <s v="group D"/>
    <x v="1"/>
    <s v="free/reduced"/>
    <x v="1"/>
    <n v="67.564203390570995"/>
    <n v="70.380700881249496"/>
    <n v="69.027618798445005"/>
    <n v="68.990841023421822"/>
    <x v="0"/>
    <x v="0"/>
  </r>
  <r>
    <s v="male"/>
    <s v="group B"/>
    <x v="0"/>
    <s v="standard"/>
    <x v="1"/>
    <n v="67.566319987807503"/>
    <n v="70.382891068852302"/>
    <n v="69.0297908025872"/>
    <n v="68.993000619748997"/>
    <x v="0"/>
    <x v="0"/>
  </r>
  <r>
    <s v="female"/>
    <s v="group C"/>
    <x v="0"/>
    <s v="standard"/>
    <x v="1"/>
    <n v="67.568436585043997"/>
    <n v="70.385081256455095"/>
    <n v="69.031962806729496"/>
    <n v="68.995160216076201"/>
    <x v="0"/>
    <x v="0"/>
  </r>
  <r>
    <s v="female"/>
    <s v="group C"/>
    <x v="3"/>
    <s v="standard"/>
    <x v="0"/>
    <n v="67.570553182280406"/>
    <n v="70.387271444057902"/>
    <n v="69.034134810871805"/>
    <n v="68.997319812403376"/>
    <x v="0"/>
    <x v="0"/>
  </r>
  <r>
    <s v="male"/>
    <s v="group C"/>
    <x v="3"/>
    <s v="standard"/>
    <x v="1"/>
    <n v="67.5726697795169"/>
    <n v="70.389461631660694"/>
    <n v="69.0363068150141"/>
    <n v="68.999479408730565"/>
    <x v="0"/>
    <x v="0"/>
  </r>
  <r>
    <s v="female"/>
    <s v="group B"/>
    <x v="2"/>
    <s v="standard"/>
    <x v="1"/>
    <n v="67.574786376753394"/>
    <n v="70.391651819263501"/>
    <n v="69.038478819156396"/>
    <n v="69.001639005057768"/>
    <x v="0"/>
    <x v="0"/>
  </r>
  <r>
    <s v="female"/>
    <s v="group C"/>
    <x v="1"/>
    <s v="standard"/>
    <x v="0"/>
    <n v="67.576902973989803"/>
    <n v="70.393842006866294"/>
    <n v="69.040650823298606"/>
    <n v="69.003798601384901"/>
    <x v="0"/>
    <x v="0"/>
  </r>
  <r>
    <s v="male"/>
    <s v="group B"/>
    <x v="5"/>
    <s v="free/reduced"/>
    <x v="1"/>
    <n v="67.579019571226297"/>
    <n v="70.396032194469001"/>
    <n v="69.042822827440901"/>
    <n v="69.005958197712062"/>
    <x v="0"/>
    <x v="0"/>
  </r>
  <r>
    <s v="female"/>
    <s v="group C"/>
    <x v="0"/>
    <s v="standard"/>
    <x v="1"/>
    <n v="67.581136168462805"/>
    <n v="70.398222382071793"/>
    <n v="69.044994831583196"/>
    <n v="69.008117794039265"/>
    <x v="0"/>
    <x v="0"/>
  </r>
  <r>
    <s v="female"/>
    <s v="group C"/>
    <x v="2"/>
    <s v="standard"/>
    <x v="1"/>
    <n v="67.583252765699299"/>
    <n v="70.4004125696746"/>
    <n v="69.047166835725406"/>
    <n v="69.010277390366426"/>
    <x v="0"/>
    <x v="0"/>
  </r>
  <r>
    <s v="female"/>
    <s v="group D"/>
    <x v="0"/>
    <s v="free/reduced"/>
    <x v="1"/>
    <n v="67.585369362935694"/>
    <n v="70.402602757277407"/>
    <n v="69.049338839867701"/>
    <n v="69.012436986693601"/>
    <x v="0"/>
    <x v="0"/>
  </r>
  <r>
    <s v="male"/>
    <s v="group C"/>
    <x v="3"/>
    <s v="standard"/>
    <x v="1"/>
    <n v="67.587485960172202"/>
    <n v="70.404792944880199"/>
    <n v="69.051510844009997"/>
    <n v="69.014596583020804"/>
    <x v="0"/>
    <x v="0"/>
  </r>
  <r>
    <s v="male"/>
    <s v="group D"/>
    <x v="1"/>
    <s v="standard"/>
    <x v="1"/>
    <n v="67.589602557408696"/>
    <n v="70.406983132483006"/>
    <n v="69.053682848152306"/>
    <n v="69.016756179348008"/>
    <x v="0"/>
    <x v="0"/>
  </r>
  <r>
    <s v="female"/>
    <s v="group B"/>
    <x v="4"/>
    <s v="standard"/>
    <x v="1"/>
    <n v="67.591719154645105"/>
    <n v="70.409173320085699"/>
    <n v="69.055854852294601"/>
    <n v="69.018915775675126"/>
    <x v="0"/>
    <x v="0"/>
  </r>
  <r>
    <s v="female"/>
    <s v="group D"/>
    <x v="1"/>
    <s v="free/reduced"/>
    <x v="1"/>
    <n v="67.593835751881599"/>
    <n v="70.411363507688506"/>
    <n v="69.058026856436797"/>
    <n v="69.021075372002301"/>
    <x v="0"/>
    <x v="0"/>
  </r>
  <r>
    <s v="female"/>
    <s v="group C"/>
    <x v="3"/>
    <s v="free/reduced"/>
    <x v="1"/>
    <n v="67.595952349118093"/>
    <n v="70.413553695291299"/>
    <n v="69.060198860579106"/>
    <n v="69.023234968329504"/>
    <x v="0"/>
    <x v="0"/>
  </r>
  <r>
    <s v="male"/>
    <s v="group B"/>
    <x v="0"/>
    <s v="standard"/>
    <x v="0"/>
    <n v="67.598068946354502"/>
    <n v="70.415743882894105"/>
    <n v="69.062370864721402"/>
    <n v="69.025394564656665"/>
    <x v="0"/>
    <x v="0"/>
  </r>
  <r>
    <s v="female"/>
    <s v="group B"/>
    <x v="3"/>
    <s v="free/reduced"/>
    <x v="1"/>
    <n v="67.600185543590996"/>
    <n v="70.417934070496898"/>
    <n v="69.064542868863697"/>
    <n v="69.027554160983854"/>
    <x v="0"/>
    <x v="0"/>
  </r>
  <r>
    <m/>
    <m/>
    <x v="7"/>
    <m/>
    <x v="3"/>
    <m/>
    <m/>
    <m/>
    <m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76499-36A8-4224-800C-3F3D21A20C6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1">
    <pivotField axis="axisRow" showAll="0">
      <items count="4">
        <item x="1"/>
        <item h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280">
        <item x="151"/>
        <item x="187"/>
        <item x="159"/>
        <item x="177"/>
        <item x="167"/>
        <item x="135"/>
        <item x="78"/>
        <item x="182"/>
        <item x="128"/>
        <item x="185"/>
        <item x="18"/>
        <item x="192"/>
        <item x="156"/>
        <item x="80"/>
        <item x="17"/>
        <item x="60"/>
        <item x="165"/>
        <item x="172"/>
        <item x="23"/>
        <item x="153"/>
        <item x="186"/>
        <item x="29"/>
        <item x="132"/>
        <item x="157"/>
        <item x="178"/>
        <item x="181"/>
        <item x="164"/>
        <item x="136"/>
        <item x="155"/>
        <item x="85"/>
        <item x="142"/>
        <item x="179"/>
        <item x="8"/>
        <item x="114"/>
        <item x="116"/>
        <item x="173"/>
        <item x="24"/>
        <item x="158"/>
        <item x="79"/>
        <item x="137"/>
        <item x="51"/>
        <item x="134"/>
        <item x="117"/>
        <item x="91"/>
        <item x="63"/>
        <item x="15"/>
        <item x="107"/>
        <item x="149"/>
        <item x="170"/>
        <item x="139"/>
        <item x="22"/>
        <item x="1"/>
        <item x="146"/>
        <item x="53"/>
        <item x="38"/>
        <item x="147"/>
        <item x="105"/>
        <item x="162"/>
        <item x="42"/>
        <item x="69"/>
        <item x="74"/>
        <item x="163"/>
        <item x="20"/>
        <item x="84"/>
        <item x="46"/>
        <item x="113"/>
        <item x="2"/>
        <item x="40"/>
        <item x="82"/>
        <item x="120"/>
        <item x="81"/>
        <item x="87"/>
        <item x="96"/>
        <item x="148"/>
        <item x="70"/>
        <item x="43"/>
        <item x="143"/>
        <item x="39"/>
        <item x="16"/>
        <item x="54"/>
        <item x="111"/>
        <item x="6"/>
        <item x="90"/>
        <item x="33"/>
        <item x="14"/>
        <item x="67"/>
        <item x="101"/>
        <item x="93"/>
        <item x="115"/>
        <item x="119"/>
        <item x="50"/>
        <item x="103"/>
        <item x="104"/>
        <item x="92"/>
        <item x="0"/>
        <item x="36"/>
        <item x="25"/>
        <item x="73"/>
        <item x="30"/>
        <item x="112"/>
        <item x="52"/>
        <item x="175"/>
        <item x="122"/>
        <item x="145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9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34"/>
        <item x="32"/>
        <item x="47"/>
        <item x="118"/>
        <item x="88"/>
        <item x="21"/>
        <item x="56"/>
        <item x="64"/>
        <item x="5"/>
        <item x="154"/>
        <item x="57"/>
        <item x="4"/>
        <item x="62"/>
        <item x="12"/>
        <item x="124"/>
        <item x="3"/>
        <item x="144"/>
        <item x="28"/>
        <item x="66"/>
        <item x="59"/>
        <item x="109"/>
        <item x="76"/>
        <item x="75"/>
        <item x="44"/>
        <item x="71"/>
        <item x="126"/>
        <item x="72"/>
        <item x="127"/>
        <item x="55"/>
        <item x="48"/>
        <item x="86"/>
        <item x="121"/>
        <item x="41"/>
        <item x="77"/>
        <item x="150"/>
        <item x="27"/>
        <item x="58"/>
        <item x="138"/>
        <item x="131"/>
        <item x="19"/>
        <item x="35"/>
        <item x="11"/>
        <item x="100"/>
        <item x="140"/>
        <item x="26"/>
        <item x="13"/>
        <item x="83"/>
        <item x="133"/>
        <item x="31"/>
        <item x="10"/>
        <item x="45"/>
        <item x="123"/>
        <item x="129"/>
        <item x="141"/>
        <item x="106"/>
        <item x="166"/>
        <item x="160"/>
        <item x="7"/>
        <item x="97"/>
        <item x="9"/>
        <item x="108"/>
        <item x="102"/>
        <item x="98"/>
        <item x="89"/>
        <item x="168"/>
        <item x="49"/>
        <item x="65"/>
        <item x="37"/>
        <item x="161"/>
        <item x="180"/>
        <item x="61"/>
        <item x="99"/>
        <item x="191"/>
        <item x="125"/>
        <item x="171"/>
        <item x="188"/>
        <item x="190"/>
        <item x="152"/>
        <item x="130"/>
        <item x="189"/>
        <item x="176"/>
        <item x="110"/>
        <item x="183"/>
        <item x="184"/>
        <item x="174"/>
        <item x="68"/>
        <item x="169"/>
        <item x="94"/>
        <item x="193"/>
        <item t="default"/>
      </items>
    </pivotField>
    <pivotField showAll="0"/>
    <pivotField showAll="0"/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Average of Average Score" fld="8" subtotal="average" baseField="0" baseItem="0"/>
  </dataFields>
  <formats count="4"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0" count="1">
            <x v="0"/>
          </reference>
        </references>
      </pivotArea>
    </format>
    <format dxfId="14">
      <pivotArea collapsedLevelsAreSubtotals="1" fieldPosition="0">
        <references count="1">
          <reference field="0" count="1">
            <x v="2"/>
          </reference>
        </references>
      </pivotArea>
    </format>
    <format dxfId="13">
      <pivotArea grandRow="1"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BC4F5-765A-498A-BEF9-DEB30632AF6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1"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Average Score" fld="8" subtotal="average" baseField="4" baseItem="0"/>
  </dataFields>
  <formats count="3">
    <format dxfId="12">
      <pivotArea collapsedLevelsAreSubtotals="1" fieldPosition="0">
        <references count="1">
          <reference field="4" count="1">
            <x v="0"/>
          </reference>
        </references>
      </pivotArea>
    </format>
    <format dxfId="11">
      <pivotArea collapsedLevelsAreSubtotals="1" fieldPosition="0">
        <references count="1">
          <reference field="4" count="1">
            <x v="1"/>
          </reference>
        </references>
      </pivotArea>
    </format>
    <format dxfId="10">
      <pivotArea grandRow="1"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65C9D-7B63-4566-9313-FB3A27E1409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1">
    <pivotField showAll="0"/>
    <pivotField showAll="0"/>
    <pivotField axis="axisRow" showAll="0">
      <items count="9">
        <item x="3"/>
        <item x="4"/>
        <item x="0"/>
        <item x="5"/>
        <item h="1" x="6"/>
        <item x="2"/>
        <item x="1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Items count="1">
    <i/>
  </colItems>
  <dataFields count="1">
    <dataField name="Average of Average Score" fld="8" subtotal="average" baseField="2" baseItem="0"/>
  </dataFields>
  <formats count="7">
    <format dxfId="9">
      <pivotArea collapsedLevelsAreSubtotals="1" fieldPosition="0">
        <references count="1">
          <reference field="2" count="1">
            <x v="0"/>
          </reference>
        </references>
      </pivotArea>
    </format>
    <format dxfId="8">
      <pivotArea collapsedLevelsAreSubtotals="1" fieldPosition="0">
        <references count="1">
          <reference field="2" count="1">
            <x v="1"/>
          </reference>
        </references>
      </pivotArea>
    </format>
    <format dxfId="7">
      <pivotArea collapsedLevelsAreSubtotals="1" fieldPosition="0">
        <references count="1">
          <reference field="2" count="1">
            <x v="2"/>
          </reference>
        </references>
      </pivotArea>
    </format>
    <format dxfId="6">
      <pivotArea collapsedLevelsAreSubtotals="1" fieldPosition="0">
        <references count="1">
          <reference field="2" count="1">
            <x v="3"/>
          </reference>
        </references>
      </pivotArea>
    </format>
    <format dxfId="5">
      <pivotArea collapsedLevelsAreSubtotals="1" fieldPosition="0">
        <references count="1">
          <reference field="2" count="1">
            <x v="5"/>
          </reference>
        </references>
      </pivotArea>
    </format>
    <format dxfId="4">
      <pivotArea collapsedLevelsAreSubtotals="1" fieldPosition="0">
        <references count="1">
          <reference field="2" count="1">
            <x v="6"/>
          </reference>
        </references>
      </pivotArea>
    </format>
    <format dxfId="3">
      <pivotArea grandRow="1" outline="0" collapsedLevelsAreSubtotals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4B736-B506-4E3A-8D2D-3F698F73E7E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2"/>
        <item x="0"/>
        <item x="3"/>
        <item h="1" x="4"/>
        <item h="1" x="5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erformance" fld="9" subtotal="count" baseField="0" baseItem="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9A197-850C-432A-B65D-12E0445FAC64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h="1" x="2"/>
        <item h="1" x="3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Result" fld="10" subtotal="count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B9654-95FF-4094-B863-5B4A8EB6AF7B}" name="Table1" displayName="Table1" ref="A1:K1000" totalsRowShown="0">
  <autoFilter ref="A1:K1000" xr:uid="{FC9B9654-95FF-4094-B863-5B4A8EB6AF7B}">
    <filterColumn colId="0">
      <customFilters>
        <customFilter operator="notEqual" val=" "/>
      </customFilters>
    </filterColumn>
  </autoFilter>
  <tableColumns count="11">
    <tableColumn id="1" xr3:uid="{AD50828C-D1CE-46FF-B00C-C495AD73DD35}" name="gender"/>
    <tableColumn id="2" xr3:uid="{55E01EB5-6E8B-4DA9-907B-D12694FDA0AC}" name="race/ethnicity"/>
    <tableColumn id="3" xr3:uid="{52BA85DC-A10D-49C7-9CC5-A4B882DB8E47}" name="parental level of education"/>
    <tableColumn id="4" xr3:uid="{89C55CC0-D0BF-4215-936A-71E00F294D23}" name="lunch"/>
    <tableColumn id="5" xr3:uid="{F5F33FD4-252F-4379-A030-6EA1A7F3D572}" name="test preparation course"/>
    <tableColumn id="6" xr3:uid="{8D184900-2FFA-4A10-B41F-4EC3780889B2}" name="math score"/>
    <tableColumn id="7" xr3:uid="{7FD1A33B-ADBF-45BD-84B4-81AFF88BE04E}" name="reading score"/>
    <tableColumn id="8" xr3:uid="{5812755F-88E8-4E92-A95E-A3CB15F2627D}" name="writing score"/>
    <tableColumn id="9" xr3:uid="{F4FD997F-79F5-4FB4-8024-DD9E17FCEB0C}" name="Average Score" dataDxfId="2">
      <calculatedColumnFormula>AVERAGE(F2:H2)</calculatedColumnFormula>
    </tableColumn>
    <tableColumn id="10" xr3:uid="{B4913ED5-4899-468C-B822-7B953DAC4146}" name="Performance" dataDxfId="1">
      <calculatedColumnFormula>IF(I2&gt;=80,"Excellent", IF(I2&gt;=60,"Good", IF(I2&gt;=40,"Average","Poor")))</calculatedColumnFormula>
    </tableColumn>
    <tableColumn id="11" xr3:uid="{CE6073B7-A3CD-4D17-A902-0902735F2E40}" name="Result" dataDxfId="0">
      <calculatedColumnFormula>IF(I2&gt;=40, 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A128-71EB-405E-A1D0-460D4AF5FE8F}">
  <dimension ref="A3:B6"/>
  <sheetViews>
    <sheetView workbookViewId="0">
      <selection activeCell="L21" sqref="L21"/>
    </sheetView>
  </sheetViews>
  <sheetFormatPr defaultRowHeight="15" x14ac:dyDescent="0.25"/>
  <cols>
    <col min="1" max="1" width="13.42578125" bestFit="1" customWidth="1"/>
    <col min="2" max="2" width="24" bestFit="1" customWidth="1"/>
  </cols>
  <sheetData>
    <row r="3" spans="1:2" x14ac:dyDescent="0.25">
      <c r="A3" s="2" t="s">
        <v>28</v>
      </c>
      <c r="B3" s="1" t="s">
        <v>36</v>
      </c>
    </row>
    <row r="4" spans="1:2" x14ac:dyDescent="0.25">
      <c r="A4" s="3" t="s">
        <v>13</v>
      </c>
      <c r="B4" s="1">
        <v>69.231011710192107</v>
      </c>
    </row>
    <row r="5" spans="1:2" x14ac:dyDescent="0.25">
      <c r="A5" s="3" t="s">
        <v>8</v>
      </c>
      <c r="B5" s="1">
        <v>66.671277318311667</v>
      </c>
    </row>
    <row r="6" spans="1:2" x14ac:dyDescent="0.25">
      <c r="A6" s="3" t="s">
        <v>29</v>
      </c>
      <c r="B6" s="1">
        <v>67.917801280690284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98DB-5D08-418F-B659-82BF87B0BCE3}">
  <dimension ref="A3:B6"/>
  <sheetViews>
    <sheetView workbookViewId="0">
      <selection activeCell="Q9" sqref="Q9"/>
    </sheetView>
  </sheetViews>
  <sheetFormatPr defaultRowHeight="15" x14ac:dyDescent="0.25"/>
  <cols>
    <col min="1" max="1" width="13.42578125" bestFit="1" customWidth="1"/>
    <col min="2" max="2" width="24" bestFit="1" customWidth="1"/>
  </cols>
  <sheetData>
    <row r="3" spans="1:2" x14ac:dyDescent="0.25">
      <c r="A3" s="2" t="s">
        <v>28</v>
      </c>
      <c r="B3" t="s">
        <v>36</v>
      </c>
    </row>
    <row r="4" spans="1:2" x14ac:dyDescent="0.25">
      <c r="A4" s="3" t="s">
        <v>12</v>
      </c>
      <c r="B4" s="1">
        <v>72.823486519193665</v>
      </c>
    </row>
    <row r="5" spans="1:2" x14ac:dyDescent="0.25">
      <c r="A5" s="3" t="s">
        <v>17</v>
      </c>
      <c r="B5" s="1">
        <v>65.483345787520022</v>
      </c>
    </row>
    <row r="6" spans="1:2" x14ac:dyDescent="0.25">
      <c r="A6" s="3" t="s">
        <v>29</v>
      </c>
      <c r="B6" s="1">
        <v>67.917801280690341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2263-DE4E-43E5-B971-23D034BE7D9E}">
  <dimension ref="A3:B10"/>
  <sheetViews>
    <sheetView workbookViewId="0">
      <selection activeCell="O14" sqref="O14"/>
    </sheetView>
  </sheetViews>
  <sheetFormatPr defaultRowHeight="15" x14ac:dyDescent="0.25"/>
  <cols>
    <col min="1" max="1" width="17.5703125" bestFit="1" customWidth="1"/>
    <col min="2" max="2" width="24" bestFit="1" customWidth="1"/>
  </cols>
  <sheetData>
    <row r="3" spans="1:2" x14ac:dyDescent="0.25">
      <c r="A3" s="2" t="s">
        <v>28</v>
      </c>
      <c r="B3" t="s">
        <v>36</v>
      </c>
    </row>
    <row r="4" spans="1:2" x14ac:dyDescent="0.25">
      <c r="A4" s="3" t="s">
        <v>21</v>
      </c>
      <c r="B4" s="1">
        <v>70.042779509484802</v>
      </c>
    </row>
    <row r="5" spans="1:2" x14ac:dyDescent="0.25">
      <c r="A5" s="3" t="s">
        <v>22</v>
      </c>
      <c r="B5" s="1">
        <v>73.254687886343959</v>
      </c>
    </row>
    <row r="6" spans="1:2" x14ac:dyDescent="0.25">
      <c r="A6" s="3" t="s">
        <v>10</v>
      </c>
      <c r="B6" s="1">
        <v>66.268305014307387</v>
      </c>
    </row>
    <row r="7" spans="1:2" x14ac:dyDescent="0.25">
      <c r="A7" s="3" t="s">
        <v>24</v>
      </c>
      <c r="B7" s="1">
        <v>73.507772496073187</v>
      </c>
    </row>
    <row r="8" spans="1:2" x14ac:dyDescent="0.25">
      <c r="A8" s="3" t="s">
        <v>19</v>
      </c>
      <c r="B8" s="1">
        <v>67.071857874289392</v>
      </c>
    </row>
    <row r="9" spans="1:2" x14ac:dyDescent="0.25">
      <c r="A9" s="3" t="s">
        <v>15</v>
      </c>
      <c r="B9" s="1">
        <v>63.288316052554642</v>
      </c>
    </row>
    <row r="10" spans="1:2" x14ac:dyDescent="0.25">
      <c r="A10" s="3" t="s">
        <v>29</v>
      </c>
      <c r="B10" s="1">
        <v>67.917801280690298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EEE1-868B-4E83-9CE9-4D3E30C1EC96}">
  <dimension ref="A3:B8"/>
  <sheetViews>
    <sheetView workbookViewId="0">
      <selection activeCell="Q13" sqref="Q13"/>
    </sheetView>
  </sheetViews>
  <sheetFormatPr defaultRowHeight="15" x14ac:dyDescent="0.25"/>
  <cols>
    <col min="1" max="1" width="13.42578125" bestFit="1" customWidth="1"/>
    <col min="2" max="2" width="21.140625" bestFit="1" customWidth="1"/>
  </cols>
  <sheetData>
    <row r="3" spans="1:2" x14ac:dyDescent="0.25">
      <c r="A3" s="2" t="s">
        <v>28</v>
      </c>
      <c r="B3" t="s">
        <v>37</v>
      </c>
    </row>
    <row r="4" spans="1:2" x14ac:dyDescent="0.25">
      <c r="A4" s="3" t="s">
        <v>32</v>
      </c>
      <c r="B4">
        <v>227</v>
      </c>
    </row>
    <row r="5" spans="1:2" x14ac:dyDescent="0.25">
      <c r="A5" s="3" t="s">
        <v>33</v>
      </c>
      <c r="B5">
        <v>194</v>
      </c>
    </row>
    <row r="6" spans="1:2" x14ac:dyDescent="0.25">
      <c r="A6" s="3" t="s">
        <v>30</v>
      </c>
      <c r="B6">
        <v>547</v>
      </c>
    </row>
    <row r="7" spans="1:2" x14ac:dyDescent="0.25">
      <c r="A7" s="3" t="s">
        <v>34</v>
      </c>
      <c r="B7">
        <v>30</v>
      </c>
    </row>
    <row r="8" spans="1:2" x14ac:dyDescent="0.25">
      <c r="A8" s="3" t="s">
        <v>29</v>
      </c>
      <c r="B8">
        <v>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C6FC-A39C-4C16-A4E6-8013605E7F28}">
  <dimension ref="A3:B6"/>
  <sheetViews>
    <sheetView workbookViewId="0">
      <selection activeCell="P7" sqref="P7"/>
    </sheetView>
  </sheetViews>
  <sheetFormatPr defaultRowHeight="15" x14ac:dyDescent="0.25"/>
  <cols>
    <col min="1" max="1" width="13.42578125" bestFit="1" customWidth="1"/>
    <col min="2" max="2" width="15.28515625" bestFit="1" customWidth="1"/>
  </cols>
  <sheetData>
    <row r="3" spans="1:2" x14ac:dyDescent="0.25">
      <c r="A3" s="2" t="s">
        <v>28</v>
      </c>
      <c r="B3" t="s">
        <v>38</v>
      </c>
    </row>
    <row r="4" spans="1:2" x14ac:dyDescent="0.25">
      <c r="A4" s="3" t="s">
        <v>35</v>
      </c>
      <c r="B4">
        <v>30</v>
      </c>
    </row>
    <row r="5" spans="1:2" x14ac:dyDescent="0.25">
      <c r="A5" s="3" t="s">
        <v>31</v>
      </c>
      <c r="B5">
        <v>968</v>
      </c>
    </row>
    <row r="6" spans="1:2" x14ac:dyDescent="0.25">
      <c r="A6" s="3" t="s">
        <v>29</v>
      </c>
      <c r="B6">
        <v>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4AE9-79DC-450B-90F4-7F454D737665}">
  <dimension ref="B5:B13"/>
  <sheetViews>
    <sheetView workbookViewId="0">
      <selection activeCell="I17" sqref="I17"/>
    </sheetView>
  </sheetViews>
  <sheetFormatPr defaultRowHeight="15" x14ac:dyDescent="0.25"/>
  <sheetData>
    <row r="5" spans="2:2" x14ac:dyDescent="0.25">
      <c r="B5" t="s">
        <v>39</v>
      </c>
    </row>
    <row r="7" spans="2:2" x14ac:dyDescent="0.25">
      <c r="B7" t="s">
        <v>40</v>
      </c>
    </row>
    <row r="9" spans="2:2" x14ac:dyDescent="0.25">
      <c r="B9" t="s">
        <v>41</v>
      </c>
    </row>
    <row r="11" spans="2:2" x14ac:dyDescent="0.25">
      <c r="B11" t="s">
        <v>42</v>
      </c>
    </row>
    <row r="13" spans="2:2" x14ac:dyDescent="0.25">
      <c r="B13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D096-5D1E-423C-A926-9C3669A0A344}">
  <dimension ref="A1:K1000"/>
  <sheetViews>
    <sheetView tabSelected="1" workbookViewId="0">
      <selection activeCell="L1" sqref="L1"/>
    </sheetView>
  </sheetViews>
  <sheetFormatPr defaultRowHeight="15" x14ac:dyDescent="0.25"/>
  <cols>
    <col min="1" max="1" width="9.42578125" customWidth="1"/>
    <col min="2" max="2" width="15.7109375" customWidth="1"/>
    <col min="3" max="3" width="27.140625" customWidth="1"/>
    <col min="5" max="5" width="24.140625" customWidth="1"/>
    <col min="6" max="6" width="13.140625" style="1" customWidth="1"/>
    <col min="7" max="7" width="15.28515625" style="1" customWidth="1"/>
    <col min="8" max="8" width="14.7109375" style="1" customWidth="1"/>
    <col min="9" max="9" width="9.140625" style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25</v>
      </c>
      <c r="J1" t="s">
        <v>26</v>
      </c>
      <c r="K1" t="s">
        <v>27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67</v>
      </c>
      <c r="G2" s="1">
        <v>67</v>
      </c>
      <c r="H2" s="1">
        <v>63</v>
      </c>
      <c r="I2" s="1">
        <f t="shared" ref="I2:I65" si="0">AVERAGE(F2:H2)</f>
        <v>65.666666666666671</v>
      </c>
      <c r="J2" t="str">
        <f t="shared" ref="J2:J65" si="1">IF(I2&gt;=80,"Excellent", IF(I2&gt;=60,"Good", IF(I2&gt;=40,"Average","Poor")))</f>
        <v>Good</v>
      </c>
      <c r="K2" t="str">
        <f t="shared" ref="K2:K65" si="2">IF(I2&gt;=40, "Pass","Fail")</f>
        <v>Pass</v>
      </c>
    </row>
    <row r="3" spans="1:11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1">
        <v>40</v>
      </c>
      <c r="G3" s="1">
        <v>59</v>
      </c>
      <c r="H3" s="1">
        <v>55</v>
      </c>
      <c r="I3" s="1">
        <f>AVERAGE(F3:H3)</f>
        <v>51.333333333333336</v>
      </c>
      <c r="J3" t="str">
        <f t="shared" si="1"/>
        <v>Average</v>
      </c>
      <c r="K3" t="str">
        <f t="shared" si="2"/>
        <v>Pass</v>
      </c>
    </row>
    <row r="4" spans="1:11" x14ac:dyDescent="0.25">
      <c r="A4" t="s">
        <v>8</v>
      </c>
      <c r="B4" t="s">
        <v>18</v>
      </c>
      <c r="C4" t="s">
        <v>19</v>
      </c>
      <c r="D4" t="s">
        <v>16</v>
      </c>
      <c r="E4" t="s">
        <v>17</v>
      </c>
      <c r="F4" s="1">
        <v>59</v>
      </c>
      <c r="G4" s="1">
        <v>60</v>
      </c>
      <c r="H4" s="1">
        <v>50</v>
      </c>
      <c r="I4" s="1">
        <f t="shared" si="0"/>
        <v>56.333333333333336</v>
      </c>
      <c r="J4" t="str">
        <f t="shared" si="1"/>
        <v>Average</v>
      </c>
      <c r="K4" t="str">
        <f t="shared" si="2"/>
        <v>Pass</v>
      </c>
    </row>
    <row r="5" spans="1:11" x14ac:dyDescent="0.25">
      <c r="A5" t="s">
        <v>8</v>
      </c>
      <c r="B5" t="s">
        <v>20</v>
      </c>
      <c r="C5" t="s">
        <v>10</v>
      </c>
      <c r="D5" t="s">
        <v>11</v>
      </c>
      <c r="E5" t="s">
        <v>17</v>
      </c>
      <c r="F5" s="1">
        <v>77</v>
      </c>
      <c r="G5" s="1">
        <v>78</v>
      </c>
      <c r="H5" s="1">
        <v>68</v>
      </c>
      <c r="I5" s="1">
        <f t="shared" si="0"/>
        <v>74.333333333333329</v>
      </c>
      <c r="J5" t="str">
        <f t="shared" si="1"/>
        <v>Good</v>
      </c>
      <c r="K5" t="str">
        <f t="shared" si="2"/>
        <v>Pass</v>
      </c>
    </row>
    <row r="6" spans="1:11" x14ac:dyDescent="0.25">
      <c r="A6" t="s">
        <v>8</v>
      </c>
      <c r="B6" t="s">
        <v>18</v>
      </c>
      <c r="C6" t="s">
        <v>21</v>
      </c>
      <c r="D6" t="s">
        <v>11</v>
      </c>
      <c r="E6" t="s">
        <v>12</v>
      </c>
      <c r="F6" s="1">
        <v>78</v>
      </c>
      <c r="G6" s="1">
        <v>73</v>
      </c>
      <c r="H6" s="1">
        <v>68</v>
      </c>
      <c r="I6" s="1">
        <f t="shared" si="0"/>
        <v>73</v>
      </c>
      <c r="J6" t="str">
        <f t="shared" si="1"/>
        <v>Good</v>
      </c>
      <c r="K6" t="str">
        <f t="shared" si="2"/>
        <v>Pass</v>
      </c>
    </row>
    <row r="7" spans="1:11" x14ac:dyDescent="0.25">
      <c r="A7" t="s">
        <v>13</v>
      </c>
      <c r="B7" t="s">
        <v>14</v>
      </c>
      <c r="C7" t="s">
        <v>10</v>
      </c>
      <c r="D7" t="s">
        <v>11</v>
      </c>
      <c r="E7" t="s">
        <v>17</v>
      </c>
      <c r="F7" s="1">
        <v>63</v>
      </c>
      <c r="G7" s="1">
        <v>77</v>
      </c>
      <c r="H7" s="1">
        <v>76</v>
      </c>
      <c r="I7" s="1">
        <f t="shared" si="0"/>
        <v>72</v>
      </c>
      <c r="J7" t="str">
        <f t="shared" si="1"/>
        <v>Good</v>
      </c>
      <c r="K7" t="str">
        <f t="shared" si="2"/>
        <v>Pass</v>
      </c>
    </row>
    <row r="8" spans="1:11" x14ac:dyDescent="0.25">
      <c r="A8" t="s">
        <v>13</v>
      </c>
      <c r="B8" t="s">
        <v>9</v>
      </c>
      <c r="C8" t="s">
        <v>22</v>
      </c>
      <c r="D8" t="s">
        <v>11</v>
      </c>
      <c r="E8" t="s">
        <v>17</v>
      </c>
      <c r="F8" s="1">
        <v>62</v>
      </c>
      <c r="G8" s="1">
        <v>59</v>
      </c>
      <c r="H8" s="1">
        <v>63</v>
      </c>
      <c r="I8" s="1">
        <f t="shared" si="0"/>
        <v>61.333333333333336</v>
      </c>
      <c r="J8" t="str">
        <f t="shared" si="1"/>
        <v>Good</v>
      </c>
      <c r="K8" t="str">
        <f t="shared" si="2"/>
        <v>Pass</v>
      </c>
    </row>
    <row r="9" spans="1:11" x14ac:dyDescent="0.25">
      <c r="A9" t="s">
        <v>8</v>
      </c>
      <c r="B9" t="s">
        <v>18</v>
      </c>
      <c r="C9" t="s">
        <v>19</v>
      </c>
      <c r="D9" t="s">
        <v>11</v>
      </c>
      <c r="E9" t="s">
        <v>12</v>
      </c>
      <c r="F9" s="1">
        <v>93</v>
      </c>
      <c r="G9" s="1">
        <v>88</v>
      </c>
      <c r="H9" s="1">
        <v>84</v>
      </c>
      <c r="I9" s="1">
        <f t="shared" si="0"/>
        <v>88.333333333333329</v>
      </c>
      <c r="J9" t="str">
        <f t="shared" si="1"/>
        <v>Excellent</v>
      </c>
      <c r="K9" t="str">
        <f t="shared" si="2"/>
        <v>Pass</v>
      </c>
    </row>
    <row r="10" spans="1:11" x14ac:dyDescent="0.25">
      <c r="A10" t="s">
        <v>8</v>
      </c>
      <c r="B10" t="s">
        <v>14</v>
      </c>
      <c r="C10" t="s">
        <v>10</v>
      </c>
      <c r="D10" t="s">
        <v>11</v>
      </c>
      <c r="E10" t="s">
        <v>17</v>
      </c>
      <c r="F10" s="1">
        <v>63</v>
      </c>
      <c r="G10" s="1">
        <v>56</v>
      </c>
      <c r="H10" s="1">
        <v>65</v>
      </c>
      <c r="I10" s="1">
        <f t="shared" si="0"/>
        <v>61.333333333333336</v>
      </c>
      <c r="J10" t="str">
        <f t="shared" si="1"/>
        <v>Good</v>
      </c>
      <c r="K10" t="str">
        <f t="shared" si="2"/>
        <v>Pass</v>
      </c>
    </row>
    <row r="11" spans="1:11" x14ac:dyDescent="0.25">
      <c r="A11" t="s">
        <v>8</v>
      </c>
      <c r="B11" t="s">
        <v>23</v>
      </c>
      <c r="C11" t="s">
        <v>19</v>
      </c>
      <c r="D11" t="s">
        <v>16</v>
      </c>
      <c r="E11" t="s">
        <v>17</v>
      </c>
      <c r="F11" s="1">
        <v>47</v>
      </c>
      <c r="G11" s="1">
        <v>42</v>
      </c>
      <c r="H11" s="1">
        <v>45</v>
      </c>
      <c r="I11" s="1">
        <f t="shared" si="0"/>
        <v>44.666666666666664</v>
      </c>
      <c r="J11" t="str">
        <f t="shared" si="1"/>
        <v>Average</v>
      </c>
      <c r="K11" t="str">
        <f t="shared" si="2"/>
        <v>Pass</v>
      </c>
    </row>
    <row r="12" spans="1:11" x14ac:dyDescent="0.25">
      <c r="A12" t="s">
        <v>8</v>
      </c>
      <c r="B12" t="s">
        <v>18</v>
      </c>
      <c r="C12" t="s">
        <v>19</v>
      </c>
      <c r="D12" t="s">
        <v>11</v>
      </c>
      <c r="E12" t="s">
        <v>12</v>
      </c>
      <c r="F12" s="1">
        <v>99</v>
      </c>
      <c r="G12" s="1">
        <v>83</v>
      </c>
      <c r="H12" s="1">
        <v>85</v>
      </c>
      <c r="I12" s="1">
        <f t="shared" si="0"/>
        <v>89</v>
      </c>
      <c r="J12" t="str">
        <f t="shared" si="1"/>
        <v>Excellent</v>
      </c>
      <c r="K12" t="str">
        <f t="shared" si="2"/>
        <v>Pass</v>
      </c>
    </row>
    <row r="13" spans="1:11" x14ac:dyDescent="0.25">
      <c r="A13" t="s">
        <v>13</v>
      </c>
      <c r="B13" t="s">
        <v>14</v>
      </c>
      <c r="C13" t="s">
        <v>10</v>
      </c>
      <c r="D13" t="s">
        <v>11</v>
      </c>
      <c r="E13" t="s">
        <v>12</v>
      </c>
      <c r="F13" s="1">
        <v>80</v>
      </c>
      <c r="G13" s="1">
        <v>87</v>
      </c>
      <c r="H13" s="1">
        <v>90</v>
      </c>
      <c r="I13" s="1">
        <f t="shared" si="0"/>
        <v>85.666666666666671</v>
      </c>
      <c r="J13" t="str">
        <f t="shared" si="1"/>
        <v>Excellent</v>
      </c>
      <c r="K13" t="str">
        <f t="shared" si="2"/>
        <v>Pass</v>
      </c>
    </row>
    <row r="14" spans="1:11" x14ac:dyDescent="0.25">
      <c r="A14" t="s">
        <v>8</v>
      </c>
      <c r="B14" t="s">
        <v>14</v>
      </c>
      <c r="C14" t="s">
        <v>21</v>
      </c>
      <c r="D14" t="s">
        <v>11</v>
      </c>
      <c r="E14" t="s">
        <v>12</v>
      </c>
      <c r="F14" s="1">
        <v>77</v>
      </c>
      <c r="G14" s="1">
        <v>87</v>
      </c>
      <c r="H14" s="1">
        <v>85</v>
      </c>
      <c r="I14" s="1">
        <f t="shared" si="0"/>
        <v>83</v>
      </c>
      <c r="J14" t="str">
        <f t="shared" si="1"/>
        <v>Excellent</v>
      </c>
      <c r="K14" t="str">
        <f t="shared" si="2"/>
        <v>Pass</v>
      </c>
    </row>
    <row r="15" spans="1:11" x14ac:dyDescent="0.25">
      <c r="A15" t="s">
        <v>8</v>
      </c>
      <c r="B15" t="s">
        <v>23</v>
      </c>
      <c r="C15" t="s">
        <v>10</v>
      </c>
      <c r="D15" t="s">
        <v>11</v>
      </c>
      <c r="E15" t="s">
        <v>12</v>
      </c>
      <c r="F15" s="1">
        <v>74</v>
      </c>
      <c r="G15" s="1">
        <v>74</v>
      </c>
      <c r="H15" s="1">
        <v>73</v>
      </c>
      <c r="I15" s="1">
        <f t="shared" si="0"/>
        <v>73.666666666666671</v>
      </c>
      <c r="J15" t="str">
        <f t="shared" si="1"/>
        <v>Good</v>
      </c>
      <c r="K15" t="str">
        <f t="shared" si="2"/>
        <v>Pass</v>
      </c>
    </row>
    <row r="16" spans="1:11" x14ac:dyDescent="0.25">
      <c r="A16" t="s">
        <v>8</v>
      </c>
      <c r="B16" t="s">
        <v>18</v>
      </c>
      <c r="C16" t="s">
        <v>15</v>
      </c>
      <c r="D16" t="s">
        <v>11</v>
      </c>
      <c r="E16" t="s">
        <v>12</v>
      </c>
      <c r="F16" s="1">
        <v>81</v>
      </c>
      <c r="G16" s="1">
        <v>87</v>
      </c>
      <c r="H16" s="1">
        <v>85</v>
      </c>
      <c r="I16" s="1">
        <f t="shared" si="0"/>
        <v>84.333333333333329</v>
      </c>
      <c r="J16" t="str">
        <f t="shared" si="1"/>
        <v>Excellent</v>
      </c>
      <c r="K16" t="str">
        <f t="shared" si="2"/>
        <v>Pass</v>
      </c>
    </row>
    <row r="17" spans="1:11" x14ac:dyDescent="0.25">
      <c r="A17" t="s">
        <v>8</v>
      </c>
      <c r="B17" t="s">
        <v>18</v>
      </c>
      <c r="C17" t="s">
        <v>21</v>
      </c>
      <c r="D17" t="s">
        <v>16</v>
      </c>
      <c r="E17" t="s">
        <v>17</v>
      </c>
      <c r="F17" s="1">
        <v>69</v>
      </c>
      <c r="G17" s="1">
        <v>61</v>
      </c>
      <c r="H17" s="1">
        <v>57</v>
      </c>
      <c r="I17" s="1">
        <f t="shared" si="0"/>
        <v>62.333333333333336</v>
      </c>
      <c r="J17" t="str">
        <f t="shared" si="1"/>
        <v>Good</v>
      </c>
      <c r="K17" t="str">
        <f t="shared" si="2"/>
        <v>Pass</v>
      </c>
    </row>
    <row r="18" spans="1:11" x14ac:dyDescent="0.25">
      <c r="A18" t="s">
        <v>8</v>
      </c>
      <c r="B18" t="s">
        <v>20</v>
      </c>
      <c r="C18" t="s">
        <v>10</v>
      </c>
      <c r="D18" t="s">
        <v>11</v>
      </c>
      <c r="E18" t="s">
        <v>17</v>
      </c>
      <c r="F18" s="1">
        <v>58</v>
      </c>
      <c r="G18" s="1">
        <v>47</v>
      </c>
      <c r="H18" s="1">
        <v>42</v>
      </c>
      <c r="I18" s="1">
        <f t="shared" si="0"/>
        <v>49</v>
      </c>
      <c r="J18" t="str">
        <f t="shared" si="1"/>
        <v>Average</v>
      </c>
      <c r="K18" t="str">
        <f t="shared" si="2"/>
        <v>Pass</v>
      </c>
    </row>
    <row r="19" spans="1:11" x14ac:dyDescent="0.25">
      <c r="A19" t="s">
        <v>13</v>
      </c>
      <c r="B19" t="s">
        <v>23</v>
      </c>
      <c r="C19" t="s">
        <v>21</v>
      </c>
      <c r="D19" t="s">
        <v>11</v>
      </c>
      <c r="E19" t="s">
        <v>12</v>
      </c>
      <c r="F19" s="1">
        <v>54</v>
      </c>
      <c r="G19" s="1">
        <v>62</v>
      </c>
      <c r="H19" s="1">
        <v>65</v>
      </c>
      <c r="I19" s="1">
        <f t="shared" si="0"/>
        <v>60.333333333333336</v>
      </c>
      <c r="J19" t="str">
        <f t="shared" si="1"/>
        <v>Good</v>
      </c>
      <c r="K19" t="str">
        <f t="shared" si="2"/>
        <v>Pass</v>
      </c>
    </row>
    <row r="20" spans="1:11" x14ac:dyDescent="0.25">
      <c r="A20" t="s">
        <v>13</v>
      </c>
      <c r="B20" t="s">
        <v>23</v>
      </c>
      <c r="C20" t="s">
        <v>21</v>
      </c>
      <c r="D20" t="s">
        <v>16</v>
      </c>
      <c r="E20" t="s">
        <v>17</v>
      </c>
      <c r="F20" s="1">
        <v>23</v>
      </c>
      <c r="G20" s="1">
        <v>44</v>
      </c>
      <c r="H20" s="1">
        <v>44</v>
      </c>
      <c r="I20" s="1">
        <f t="shared" si="0"/>
        <v>37</v>
      </c>
      <c r="J20" t="str">
        <f t="shared" si="1"/>
        <v>Poor</v>
      </c>
      <c r="K20" t="str">
        <f t="shared" si="2"/>
        <v>Fail</v>
      </c>
    </row>
    <row r="21" spans="1:11" x14ac:dyDescent="0.25">
      <c r="A21" t="s">
        <v>8</v>
      </c>
      <c r="B21" t="s">
        <v>23</v>
      </c>
      <c r="C21" t="s">
        <v>19</v>
      </c>
      <c r="D21" t="s">
        <v>16</v>
      </c>
      <c r="E21" t="s">
        <v>17</v>
      </c>
      <c r="F21" s="1">
        <v>39</v>
      </c>
      <c r="G21" s="1">
        <v>32</v>
      </c>
      <c r="H21" s="1">
        <v>31</v>
      </c>
      <c r="I21" s="1">
        <f t="shared" si="0"/>
        <v>34</v>
      </c>
      <c r="J21" t="str">
        <f t="shared" si="1"/>
        <v>Poor</v>
      </c>
      <c r="K21" t="str">
        <f t="shared" si="2"/>
        <v>Fail</v>
      </c>
    </row>
    <row r="22" spans="1:11" x14ac:dyDescent="0.25">
      <c r="A22" t="s">
        <v>13</v>
      </c>
      <c r="B22" t="s">
        <v>23</v>
      </c>
      <c r="C22" t="s">
        <v>21</v>
      </c>
      <c r="D22" t="s">
        <v>11</v>
      </c>
      <c r="E22" t="s">
        <v>17</v>
      </c>
      <c r="F22" s="1">
        <v>83</v>
      </c>
      <c r="G22" s="1">
        <v>76</v>
      </c>
      <c r="H22" s="1">
        <v>88</v>
      </c>
      <c r="I22" s="1">
        <f t="shared" si="0"/>
        <v>82.333333333333329</v>
      </c>
      <c r="J22" t="str">
        <f t="shared" si="1"/>
        <v>Excellent</v>
      </c>
      <c r="K22" t="str">
        <f t="shared" si="2"/>
        <v>Pass</v>
      </c>
    </row>
    <row r="23" spans="1:11" x14ac:dyDescent="0.25">
      <c r="A23" t="s">
        <v>8</v>
      </c>
      <c r="B23" t="s">
        <v>23</v>
      </c>
      <c r="C23" t="s">
        <v>21</v>
      </c>
      <c r="D23" t="s">
        <v>11</v>
      </c>
      <c r="E23" t="s">
        <v>17</v>
      </c>
      <c r="F23" s="1">
        <v>58</v>
      </c>
      <c r="G23" s="1">
        <v>52</v>
      </c>
      <c r="H23" s="1">
        <v>55</v>
      </c>
      <c r="I23" s="1">
        <f t="shared" si="0"/>
        <v>55</v>
      </c>
      <c r="J23" t="str">
        <f t="shared" si="1"/>
        <v>Average</v>
      </c>
      <c r="K23" t="str">
        <f t="shared" si="2"/>
        <v>Pass</v>
      </c>
    </row>
    <row r="24" spans="1:11" x14ac:dyDescent="0.25">
      <c r="A24" t="s">
        <v>8</v>
      </c>
      <c r="B24" t="s">
        <v>20</v>
      </c>
      <c r="C24" t="s">
        <v>19</v>
      </c>
      <c r="D24" t="s">
        <v>11</v>
      </c>
      <c r="E24" t="s">
        <v>12</v>
      </c>
      <c r="F24" s="1">
        <v>71</v>
      </c>
      <c r="G24" s="1">
        <v>69</v>
      </c>
      <c r="H24" s="1">
        <v>73</v>
      </c>
      <c r="I24" s="1">
        <f t="shared" si="0"/>
        <v>71</v>
      </c>
      <c r="J24" t="str">
        <f t="shared" si="1"/>
        <v>Good</v>
      </c>
      <c r="K24" t="str">
        <f t="shared" si="2"/>
        <v>Pass</v>
      </c>
    </row>
    <row r="25" spans="1:11" x14ac:dyDescent="0.25">
      <c r="A25" t="s">
        <v>13</v>
      </c>
      <c r="B25" t="s">
        <v>20</v>
      </c>
      <c r="C25" t="s">
        <v>19</v>
      </c>
      <c r="D25" t="s">
        <v>16</v>
      </c>
      <c r="E25" t="s">
        <v>17</v>
      </c>
      <c r="F25" s="1">
        <v>44</v>
      </c>
      <c r="G25" s="1">
        <v>55</v>
      </c>
      <c r="H25" s="1">
        <v>54</v>
      </c>
      <c r="I25" s="1">
        <f t="shared" si="0"/>
        <v>51</v>
      </c>
      <c r="J25" t="str">
        <f t="shared" si="1"/>
        <v>Average</v>
      </c>
      <c r="K25" t="str">
        <f t="shared" si="2"/>
        <v>Pass</v>
      </c>
    </row>
    <row r="26" spans="1:11" x14ac:dyDescent="0.25">
      <c r="A26" t="s">
        <v>8</v>
      </c>
      <c r="B26" t="s">
        <v>18</v>
      </c>
      <c r="C26" t="s">
        <v>15</v>
      </c>
      <c r="D26" t="s">
        <v>16</v>
      </c>
      <c r="E26" t="s">
        <v>17</v>
      </c>
      <c r="F26" s="1">
        <v>46</v>
      </c>
      <c r="G26" s="1">
        <v>38</v>
      </c>
      <c r="H26" s="1">
        <v>32</v>
      </c>
      <c r="I26" s="1">
        <f t="shared" si="0"/>
        <v>38.666666666666664</v>
      </c>
      <c r="J26" t="str">
        <f t="shared" si="1"/>
        <v>Poor</v>
      </c>
      <c r="K26" t="str">
        <f t="shared" si="2"/>
        <v>Fail</v>
      </c>
    </row>
    <row r="27" spans="1:11" x14ac:dyDescent="0.25">
      <c r="A27" t="s">
        <v>8</v>
      </c>
      <c r="B27" t="s">
        <v>23</v>
      </c>
      <c r="C27" t="s">
        <v>10</v>
      </c>
      <c r="D27" t="s">
        <v>16</v>
      </c>
      <c r="E27" t="s">
        <v>17</v>
      </c>
      <c r="F27" s="1">
        <v>51</v>
      </c>
      <c r="G27" s="1">
        <v>45</v>
      </c>
      <c r="H27" s="1">
        <v>42</v>
      </c>
      <c r="I27" s="1">
        <f t="shared" si="0"/>
        <v>46</v>
      </c>
      <c r="J27" t="str">
        <f t="shared" si="1"/>
        <v>Average</v>
      </c>
      <c r="K27" t="str">
        <f t="shared" si="2"/>
        <v>Pass</v>
      </c>
    </row>
    <row r="28" spans="1:11" x14ac:dyDescent="0.25">
      <c r="A28" t="s">
        <v>13</v>
      </c>
      <c r="B28" t="s">
        <v>23</v>
      </c>
      <c r="C28" t="s">
        <v>15</v>
      </c>
      <c r="D28" t="s">
        <v>11</v>
      </c>
      <c r="E28" t="s">
        <v>17</v>
      </c>
      <c r="F28" s="1">
        <v>53</v>
      </c>
      <c r="G28" s="1">
        <v>60</v>
      </c>
      <c r="H28" s="1">
        <v>56</v>
      </c>
      <c r="I28" s="1">
        <f t="shared" si="0"/>
        <v>56.333333333333336</v>
      </c>
      <c r="J28" t="str">
        <f t="shared" si="1"/>
        <v>Average</v>
      </c>
      <c r="K28" t="str">
        <f t="shared" si="2"/>
        <v>Pass</v>
      </c>
    </row>
    <row r="29" spans="1:11" x14ac:dyDescent="0.25">
      <c r="A29" t="s">
        <v>8</v>
      </c>
      <c r="B29" t="s">
        <v>18</v>
      </c>
      <c r="C29" t="s">
        <v>10</v>
      </c>
      <c r="D29" t="s">
        <v>11</v>
      </c>
      <c r="E29" t="s">
        <v>17</v>
      </c>
      <c r="F29" s="1">
        <v>71</v>
      </c>
      <c r="G29" s="1">
        <v>68</v>
      </c>
      <c r="H29" s="1">
        <v>60</v>
      </c>
      <c r="I29" s="1">
        <f t="shared" si="0"/>
        <v>66.333333333333329</v>
      </c>
      <c r="J29" t="str">
        <f t="shared" si="1"/>
        <v>Good</v>
      </c>
      <c r="K29" t="str">
        <f t="shared" si="2"/>
        <v>Pass</v>
      </c>
    </row>
    <row r="30" spans="1:11" x14ac:dyDescent="0.25">
      <c r="A30" t="s">
        <v>13</v>
      </c>
      <c r="B30" t="s">
        <v>20</v>
      </c>
      <c r="C30" t="s">
        <v>10</v>
      </c>
      <c r="D30" t="s">
        <v>11</v>
      </c>
      <c r="E30" t="s">
        <v>12</v>
      </c>
      <c r="F30" s="1">
        <v>74</v>
      </c>
      <c r="G30" s="1">
        <v>89</v>
      </c>
      <c r="H30" s="1">
        <v>89</v>
      </c>
      <c r="I30" s="1">
        <f t="shared" si="0"/>
        <v>84</v>
      </c>
      <c r="J30" t="str">
        <f t="shared" si="1"/>
        <v>Excellent</v>
      </c>
      <c r="K30" t="str">
        <f t="shared" si="2"/>
        <v>Pass</v>
      </c>
    </row>
    <row r="31" spans="1:11" x14ac:dyDescent="0.25">
      <c r="A31" t="s">
        <v>13</v>
      </c>
      <c r="B31" t="s">
        <v>9</v>
      </c>
      <c r="C31" t="s">
        <v>15</v>
      </c>
      <c r="D31" t="s">
        <v>16</v>
      </c>
      <c r="E31" t="s">
        <v>17</v>
      </c>
      <c r="F31" s="1">
        <v>33</v>
      </c>
      <c r="G31" s="1">
        <v>54</v>
      </c>
      <c r="H31" s="1">
        <v>51</v>
      </c>
      <c r="I31" s="1">
        <f t="shared" si="0"/>
        <v>46</v>
      </c>
      <c r="J31" t="str">
        <f t="shared" si="1"/>
        <v>Average</v>
      </c>
      <c r="K31" t="str">
        <f t="shared" si="2"/>
        <v>Pass</v>
      </c>
    </row>
    <row r="32" spans="1:11" x14ac:dyDescent="0.25">
      <c r="A32" t="s">
        <v>8</v>
      </c>
      <c r="B32" t="s">
        <v>20</v>
      </c>
      <c r="C32" t="s">
        <v>19</v>
      </c>
      <c r="D32" t="s">
        <v>11</v>
      </c>
      <c r="E32" t="s">
        <v>17</v>
      </c>
      <c r="F32" s="1">
        <v>87</v>
      </c>
      <c r="G32" s="1">
        <v>79</v>
      </c>
      <c r="H32" s="1">
        <v>77</v>
      </c>
      <c r="I32" s="1">
        <f t="shared" si="0"/>
        <v>81</v>
      </c>
      <c r="J32" t="str">
        <f t="shared" si="1"/>
        <v>Excellent</v>
      </c>
      <c r="K32" t="str">
        <f t="shared" si="2"/>
        <v>Pass</v>
      </c>
    </row>
    <row r="33" spans="1:11" x14ac:dyDescent="0.25">
      <c r="A33" t="s">
        <v>8</v>
      </c>
      <c r="B33" t="s">
        <v>9</v>
      </c>
      <c r="C33" t="s">
        <v>22</v>
      </c>
      <c r="D33" t="s">
        <v>16</v>
      </c>
      <c r="E33" t="s">
        <v>17</v>
      </c>
      <c r="F33" s="1">
        <v>78</v>
      </c>
      <c r="G33" s="1">
        <v>74</v>
      </c>
      <c r="H33" s="1">
        <v>73</v>
      </c>
      <c r="I33" s="1">
        <f t="shared" si="0"/>
        <v>75</v>
      </c>
      <c r="J33" t="str">
        <f t="shared" si="1"/>
        <v>Good</v>
      </c>
      <c r="K33" t="str">
        <f t="shared" si="2"/>
        <v>Pass</v>
      </c>
    </row>
    <row r="34" spans="1:11" x14ac:dyDescent="0.25">
      <c r="A34" t="s">
        <v>8</v>
      </c>
      <c r="B34" t="s">
        <v>9</v>
      </c>
      <c r="C34" t="s">
        <v>15</v>
      </c>
      <c r="D34" t="s">
        <v>16</v>
      </c>
      <c r="E34" t="s">
        <v>12</v>
      </c>
      <c r="F34" s="1">
        <v>40</v>
      </c>
      <c r="G34" s="1">
        <v>41</v>
      </c>
      <c r="H34" s="1">
        <v>39</v>
      </c>
      <c r="I34" s="1">
        <f t="shared" si="0"/>
        <v>40</v>
      </c>
      <c r="J34" t="str">
        <f t="shared" si="1"/>
        <v>Average</v>
      </c>
      <c r="K34" t="str">
        <f t="shared" si="2"/>
        <v>Pass</v>
      </c>
    </row>
    <row r="35" spans="1:11" x14ac:dyDescent="0.25">
      <c r="A35" t="s">
        <v>13</v>
      </c>
      <c r="B35" t="s">
        <v>20</v>
      </c>
      <c r="C35" t="s">
        <v>21</v>
      </c>
      <c r="D35" t="s">
        <v>11</v>
      </c>
      <c r="E35" t="s">
        <v>12</v>
      </c>
      <c r="F35" s="1">
        <v>65</v>
      </c>
      <c r="G35" s="1">
        <v>65</v>
      </c>
      <c r="H35" s="1">
        <v>71</v>
      </c>
      <c r="I35" s="1">
        <f t="shared" si="0"/>
        <v>67</v>
      </c>
      <c r="J35" t="str">
        <f t="shared" si="1"/>
        <v>Good</v>
      </c>
      <c r="K35" t="str">
        <f t="shared" si="2"/>
        <v>Pass</v>
      </c>
    </row>
    <row r="36" spans="1:11" x14ac:dyDescent="0.25">
      <c r="A36" t="s">
        <v>13</v>
      </c>
      <c r="B36" t="s">
        <v>20</v>
      </c>
      <c r="C36" t="s">
        <v>22</v>
      </c>
      <c r="D36" t="s">
        <v>11</v>
      </c>
      <c r="E36" t="s">
        <v>12</v>
      </c>
      <c r="F36" s="1">
        <v>79</v>
      </c>
      <c r="G36" s="1">
        <v>88</v>
      </c>
      <c r="H36" s="1">
        <v>89</v>
      </c>
      <c r="I36" s="1">
        <f t="shared" si="0"/>
        <v>85.333333333333329</v>
      </c>
      <c r="J36" t="str">
        <f t="shared" si="1"/>
        <v>Excellent</v>
      </c>
      <c r="K36" t="str">
        <f t="shared" si="2"/>
        <v>Pass</v>
      </c>
    </row>
    <row r="37" spans="1:11" x14ac:dyDescent="0.25">
      <c r="A37" t="s">
        <v>13</v>
      </c>
      <c r="B37" t="s">
        <v>9</v>
      </c>
      <c r="C37" t="s">
        <v>22</v>
      </c>
      <c r="D37" t="s">
        <v>11</v>
      </c>
      <c r="E37" t="s">
        <v>17</v>
      </c>
      <c r="F37" s="1">
        <v>68</v>
      </c>
      <c r="G37" s="1">
        <v>74</v>
      </c>
      <c r="H37" s="1">
        <v>74</v>
      </c>
      <c r="I37" s="1">
        <f t="shared" si="0"/>
        <v>72</v>
      </c>
      <c r="J37" t="str">
        <f t="shared" si="1"/>
        <v>Good</v>
      </c>
      <c r="K37" t="str">
        <f t="shared" si="2"/>
        <v>Pass</v>
      </c>
    </row>
    <row r="38" spans="1:11" x14ac:dyDescent="0.25">
      <c r="A38" t="s">
        <v>13</v>
      </c>
      <c r="B38" t="s">
        <v>23</v>
      </c>
      <c r="C38" t="s">
        <v>19</v>
      </c>
      <c r="D38" t="s">
        <v>11</v>
      </c>
      <c r="E38" t="s">
        <v>12</v>
      </c>
      <c r="F38" s="1">
        <v>57</v>
      </c>
      <c r="G38" s="1">
        <v>77</v>
      </c>
      <c r="H38" s="1">
        <v>75</v>
      </c>
      <c r="I38" s="1">
        <f t="shared" si="0"/>
        <v>69.666666666666671</v>
      </c>
      <c r="J38" t="str">
        <f t="shared" si="1"/>
        <v>Good</v>
      </c>
      <c r="K38" t="str">
        <f t="shared" si="2"/>
        <v>Pass</v>
      </c>
    </row>
    <row r="39" spans="1:11" x14ac:dyDescent="0.25">
      <c r="A39" t="s">
        <v>8</v>
      </c>
      <c r="B39" t="s">
        <v>20</v>
      </c>
      <c r="C39" t="s">
        <v>10</v>
      </c>
      <c r="D39" t="s">
        <v>16</v>
      </c>
      <c r="E39" t="s">
        <v>17</v>
      </c>
      <c r="F39" s="1">
        <v>67</v>
      </c>
      <c r="G39" s="1">
        <v>65</v>
      </c>
      <c r="H39" s="1">
        <v>54</v>
      </c>
      <c r="I39" s="1">
        <f t="shared" si="0"/>
        <v>62</v>
      </c>
      <c r="J39" t="str">
        <f t="shared" si="1"/>
        <v>Good</v>
      </c>
      <c r="K39" t="str">
        <f t="shared" si="2"/>
        <v>Pass</v>
      </c>
    </row>
    <row r="40" spans="1:11" x14ac:dyDescent="0.25">
      <c r="A40" t="s">
        <v>13</v>
      </c>
      <c r="B40" t="s">
        <v>20</v>
      </c>
      <c r="C40" t="s">
        <v>19</v>
      </c>
      <c r="D40" t="s">
        <v>16</v>
      </c>
      <c r="E40" t="s">
        <v>12</v>
      </c>
      <c r="F40" s="1">
        <v>58</v>
      </c>
      <c r="G40" s="1">
        <v>68</v>
      </c>
      <c r="H40" s="1">
        <v>73</v>
      </c>
      <c r="I40" s="1">
        <f t="shared" si="0"/>
        <v>66.333333333333329</v>
      </c>
      <c r="J40" t="str">
        <f t="shared" si="1"/>
        <v>Good</v>
      </c>
      <c r="K40" t="str">
        <f t="shared" si="2"/>
        <v>Pass</v>
      </c>
    </row>
    <row r="41" spans="1:11" x14ac:dyDescent="0.25">
      <c r="A41" t="s">
        <v>8</v>
      </c>
      <c r="B41" t="s">
        <v>18</v>
      </c>
      <c r="C41" t="s">
        <v>21</v>
      </c>
      <c r="D41" t="s">
        <v>11</v>
      </c>
      <c r="E41" t="s">
        <v>17</v>
      </c>
      <c r="F41" s="1">
        <v>98</v>
      </c>
      <c r="G41" s="1">
        <v>81</v>
      </c>
      <c r="H41" s="1">
        <v>77</v>
      </c>
      <c r="I41" s="1">
        <f t="shared" si="0"/>
        <v>85.333333333333329</v>
      </c>
      <c r="J41" t="str">
        <f t="shared" si="1"/>
        <v>Excellent</v>
      </c>
      <c r="K41" t="str">
        <f t="shared" si="2"/>
        <v>Pass</v>
      </c>
    </row>
    <row r="42" spans="1:11" x14ac:dyDescent="0.25">
      <c r="A42" t="s">
        <v>13</v>
      </c>
      <c r="B42" t="s">
        <v>20</v>
      </c>
      <c r="C42" t="s">
        <v>24</v>
      </c>
      <c r="D42" t="s">
        <v>16</v>
      </c>
      <c r="E42" t="s">
        <v>17</v>
      </c>
      <c r="F42" s="1">
        <v>54</v>
      </c>
      <c r="G42" s="1">
        <v>75</v>
      </c>
      <c r="H42" s="1">
        <v>72</v>
      </c>
      <c r="I42" s="1">
        <f t="shared" si="0"/>
        <v>67</v>
      </c>
      <c r="J42" t="str">
        <f t="shared" si="1"/>
        <v>Good</v>
      </c>
      <c r="K42" t="str">
        <f t="shared" si="2"/>
        <v>Pass</v>
      </c>
    </row>
    <row r="43" spans="1:11" x14ac:dyDescent="0.25">
      <c r="A43" t="s">
        <v>8</v>
      </c>
      <c r="B43" t="s">
        <v>14</v>
      </c>
      <c r="C43" t="s">
        <v>10</v>
      </c>
      <c r="D43" t="s">
        <v>11</v>
      </c>
      <c r="E43" t="s">
        <v>17</v>
      </c>
      <c r="F43" s="1">
        <v>77</v>
      </c>
      <c r="G43" s="1">
        <v>67</v>
      </c>
      <c r="H43" s="1">
        <v>64</v>
      </c>
      <c r="I43" s="1">
        <f t="shared" si="0"/>
        <v>69.333333333333329</v>
      </c>
      <c r="J43" t="str">
        <f t="shared" si="1"/>
        <v>Good</v>
      </c>
      <c r="K43" t="str">
        <f t="shared" si="2"/>
        <v>Pass</v>
      </c>
    </row>
    <row r="44" spans="1:11" x14ac:dyDescent="0.25">
      <c r="A44" t="s">
        <v>8</v>
      </c>
      <c r="B44" t="s">
        <v>18</v>
      </c>
      <c r="C44" t="s">
        <v>10</v>
      </c>
      <c r="D44" t="s">
        <v>11</v>
      </c>
      <c r="E44" t="s">
        <v>12</v>
      </c>
      <c r="F44" s="1">
        <v>87</v>
      </c>
      <c r="G44" s="1">
        <v>79</v>
      </c>
      <c r="H44" s="1">
        <v>82</v>
      </c>
      <c r="I44" s="1">
        <f t="shared" si="0"/>
        <v>82.666666666666671</v>
      </c>
      <c r="J44" t="str">
        <f t="shared" si="1"/>
        <v>Excellent</v>
      </c>
      <c r="K44" t="str">
        <f t="shared" si="2"/>
        <v>Pass</v>
      </c>
    </row>
    <row r="45" spans="1:11" x14ac:dyDescent="0.25">
      <c r="A45" t="s">
        <v>13</v>
      </c>
      <c r="B45" t="s">
        <v>23</v>
      </c>
      <c r="C45" t="s">
        <v>24</v>
      </c>
      <c r="D45" t="s">
        <v>11</v>
      </c>
      <c r="E45" t="s">
        <v>17</v>
      </c>
      <c r="F45" s="1">
        <v>58</v>
      </c>
      <c r="G45" s="1">
        <v>70</v>
      </c>
      <c r="H45" s="1">
        <v>70</v>
      </c>
      <c r="I45" s="1">
        <f t="shared" si="0"/>
        <v>66</v>
      </c>
      <c r="J45" t="str">
        <f t="shared" si="1"/>
        <v>Good</v>
      </c>
      <c r="K45" t="str">
        <f t="shared" si="2"/>
        <v>Pass</v>
      </c>
    </row>
    <row r="46" spans="1:11" x14ac:dyDescent="0.25">
      <c r="A46" t="s">
        <v>8</v>
      </c>
      <c r="B46" t="s">
        <v>18</v>
      </c>
      <c r="C46" t="s">
        <v>10</v>
      </c>
      <c r="D46" t="s">
        <v>11</v>
      </c>
      <c r="E46" t="s">
        <v>17</v>
      </c>
      <c r="F46" s="1">
        <v>100</v>
      </c>
      <c r="G46" s="1">
        <v>88</v>
      </c>
      <c r="H46" s="1">
        <v>87</v>
      </c>
      <c r="I46" s="1">
        <f t="shared" si="0"/>
        <v>91.666666666666671</v>
      </c>
      <c r="J46" t="str">
        <f t="shared" si="1"/>
        <v>Excellent</v>
      </c>
      <c r="K46" t="str">
        <f t="shared" si="2"/>
        <v>Pass</v>
      </c>
    </row>
    <row r="47" spans="1:11" x14ac:dyDescent="0.25">
      <c r="A47" t="s">
        <v>8</v>
      </c>
      <c r="B47" t="s">
        <v>23</v>
      </c>
      <c r="C47" t="s">
        <v>22</v>
      </c>
      <c r="D47" t="s">
        <v>11</v>
      </c>
      <c r="E47" t="s">
        <v>17</v>
      </c>
      <c r="F47" s="1">
        <v>60</v>
      </c>
      <c r="G47" s="1">
        <v>46</v>
      </c>
      <c r="H47" s="1">
        <v>51</v>
      </c>
      <c r="I47" s="1">
        <f t="shared" si="0"/>
        <v>52.333333333333336</v>
      </c>
      <c r="J47" t="str">
        <f t="shared" si="1"/>
        <v>Average</v>
      </c>
      <c r="K47" t="str">
        <f t="shared" si="2"/>
        <v>Pass</v>
      </c>
    </row>
    <row r="48" spans="1:11" x14ac:dyDescent="0.25">
      <c r="A48" t="s">
        <v>8</v>
      </c>
      <c r="B48" t="s">
        <v>23</v>
      </c>
      <c r="C48" t="s">
        <v>21</v>
      </c>
      <c r="D48" t="s">
        <v>16</v>
      </c>
      <c r="E48" t="s">
        <v>17</v>
      </c>
      <c r="F48" s="1">
        <v>64</v>
      </c>
      <c r="G48" s="1">
        <v>63</v>
      </c>
      <c r="H48" s="1">
        <v>57</v>
      </c>
      <c r="I48" s="1">
        <f t="shared" si="0"/>
        <v>61.333333333333336</v>
      </c>
      <c r="J48" t="str">
        <f t="shared" si="1"/>
        <v>Good</v>
      </c>
      <c r="K48" t="str">
        <f t="shared" si="2"/>
        <v>Pass</v>
      </c>
    </row>
    <row r="49" spans="1:11" x14ac:dyDescent="0.25">
      <c r="A49" t="s">
        <v>13</v>
      </c>
      <c r="B49" t="s">
        <v>18</v>
      </c>
      <c r="C49" t="s">
        <v>15</v>
      </c>
      <c r="D49" t="s">
        <v>11</v>
      </c>
      <c r="E49" t="s">
        <v>12</v>
      </c>
      <c r="F49" s="1">
        <v>65</v>
      </c>
      <c r="G49" s="1">
        <v>76</v>
      </c>
      <c r="H49" s="1">
        <v>78</v>
      </c>
      <c r="I49" s="1">
        <f t="shared" si="0"/>
        <v>73</v>
      </c>
      <c r="J49" t="str">
        <f t="shared" si="1"/>
        <v>Good</v>
      </c>
      <c r="K49" t="str">
        <f t="shared" si="2"/>
        <v>Pass</v>
      </c>
    </row>
    <row r="50" spans="1:11" x14ac:dyDescent="0.25">
      <c r="A50" t="s">
        <v>13</v>
      </c>
      <c r="B50" t="s">
        <v>14</v>
      </c>
      <c r="C50" t="s">
        <v>10</v>
      </c>
      <c r="D50" t="s">
        <v>11</v>
      </c>
      <c r="E50" t="s">
        <v>17</v>
      </c>
      <c r="F50" s="1">
        <v>68</v>
      </c>
      <c r="G50" s="1">
        <v>72</v>
      </c>
      <c r="H50" s="1">
        <v>73</v>
      </c>
      <c r="I50" s="1">
        <f t="shared" si="0"/>
        <v>71</v>
      </c>
      <c r="J50" t="str">
        <f t="shared" si="1"/>
        <v>Good</v>
      </c>
      <c r="K50" t="str">
        <f t="shared" si="2"/>
        <v>Pass</v>
      </c>
    </row>
    <row r="51" spans="1:11" x14ac:dyDescent="0.25">
      <c r="A51" t="s">
        <v>8</v>
      </c>
      <c r="B51" t="s">
        <v>23</v>
      </c>
      <c r="C51" t="s">
        <v>21</v>
      </c>
      <c r="D51" t="s">
        <v>16</v>
      </c>
      <c r="E51" t="s">
        <v>12</v>
      </c>
      <c r="F51" s="1">
        <v>60</v>
      </c>
      <c r="G51" s="1">
        <v>63</v>
      </c>
      <c r="H51" s="1">
        <v>57</v>
      </c>
      <c r="I51" s="1">
        <f t="shared" si="0"/>
        <v>60</v>
      </c>
      <c r="J51" t="str">
        <f t="shared" si="1"/>
        <v>Good</v>
      </c>
      <c r="K51" t="str">
        <f t="shared" si="2"/>
        <v>Pass</v>
      </c>
    </row>
    <row r="52" spans="1:11" x14ac:dyDescent="0.25">
      <c r="A52" t="s">
        <v>8</v>
      </c>
      <c r="B52" t="s">
        <v>14</v>
      </c>
      <c r="C52" t="s">
        <v>10</v>
      </c>
      <c r="D52" t="s">
        <v>11</v>
      </c>
      <c r="E52" t="s">
        <v>17</v>
      </c>
      <c r="F52" s="1">
        <v>65</v>
      </c>
      <c r="G52" s="1">
        <v>68</v>
      </c>
      <c r="H52" s="1">
        <v>64</v>
      </c>
      <c r="I52" s="1">
        <f t="shared" si="0"/>
        <v>65.666666666666671</v>
      </c>
      <c r="J52" t="str">
        <f t="shared" si="1"/>
        <v>Good</v>
      </c>
      <c r="K52" t="str">
        <f t="shared" si="2"/>
        <v>Pass</v>
      </c>
    </row>
    <row r="53" spans="1:11" x14ac:dyDescent="0.25">
      <c r="A53" t="s">
        <v>13</v>
      </c>
      <c r="B53" t="s">
        <v>23</v>
      </c>
      <c r="C53" t="s">
        <v>15</v>
      </c>
      <c r="D53" t="s">
        <v>16</v>
      </c>
      <c r="E53" t="s">
        <v>17</v>
      </c>
      <c r="F53" s="1">
        <v>52</v>
      </c>
      <c r="G53" s="1">
        <v>58</v>
      </c>
      <c r="H53" s="1">
        <v>60</v>
      </c>
      <c r="I53" s="1">
        <f t="shared" si="0"/>
        <v>56.666666666666664</v>
      </c>
      <c r="J53" t="str">
        <f t="shared" si="1"/>
        <v>Average</v>
      </c>
      <c r="K53" t="str">
        <f t="shared" si="2"/>
        <v>Pass</v>
      </c>
    </row>
    <row r="54" spans="1:11" x14ac:dyDescent="0.25">
      <c r="A54" t="s">
        <v>13</v>
      </c>
      <c r="B54" t="s">
        <v>23</v>
      </c>
      <c r="C54" t="s">
        <v>21</v>
      </c>
      <c r="D54" t="s">
        <v>11</v>
      </c>
      <c r="E54" t="s">
        <v>17</v>
      </c>
      <c r="F54" s="1">
        <v>74</v>
      </c>
      <c r="G54" s="1">
        <v>81</v>
      </c>
      <c r="H54" s="1">
        <v>85</v>
      </c>
      <c r="I54" s="1">
        <f t="shared" si="0"/>
        <v>80</v>
      </c>
      <c r="J54" t="str">
        <f t="shared" si="1"/>
        <v>Excellent</v>
      </c>
      <c r="K54" t="str">
        <f t="shared" si="2"/>
        <v>Pass</v>
      </c>
    </row>
    <row r="55" spans="1:11" x14ac:dyDescent="0.25">
      <c r="A55" t="s">
        <v>13</v>
      </c>
      <c r="B55" t="s">
        <v>23</v>
      </c>
      <c r="C55" t="s">
        <v>10</v>
      </c>
      <c r="D55" t="s">
        <v>16</v>
      </c>
      <c r="E55" t="s">
        <v>17</v>
      </c>
      <c r="F55" s="1">
        <v>36</v>
      </c>
      <c r="G55" s="1">
        <v>53</v>
      </c>
      <c r="H55" s="1">
        <v>49</v>
      </c>
      <c r="I55" s="1">
        <f t="shared" si="0"/>
        <v>46</v>
      </c>
      <c r="J55" t="str">
        <f t="shared" si="1"/>
        <v>Average</v>
      </c>
      <c r="K55" t="str">
        <f t="shared" si="2"/>
        <v>Pass</v>
      </c>
    </row>
    <row r="56" spans="1:11" x14ac:dyDescent="0.25">
      <c r="A56" t="s">
        <v>8</v>
      </c>
      <c r="B56" t="s">
        <v>14</v>
      </c>
      <c r="C56" t="s">
        <v>10</v>
      </c>
      <c r="D56" t="s">
        <v>16</v>
      </c>
      <c r="E56" t="s">
        <v>17</v>
      </c>
      <c r="F56" s="1">
        <v>57</v>
      </c>
      <c r="G56" s="1">
        <v>57</v>
      </c>
      <c r="H56" s="1">
        <v>47</v>
      </c>
      <c r="I56" s="1">
        <f t="shared" si="0"/>
        <v>53.666666666666664</v>
      </c>
      <c r="J56" t="str">
        <f t="shared" si="1"/>
        <v>Average</v>
      </c>
      <c r="K56" t="str">
        <f t="shared" si="2"/>
        <v>Pass</v>
      </c>
    </row>
    <row r="57" spans="1:11" x14ac:dyDescent="0.25">
      <c r="A57" t="s">
        <v>13</v>
      </c>
      <c r="B57" t="s">
        <v>23</v>
      </c>
      <c r="C57" t="s">
        <v>19</v>
      </c>
      <c r="D57" t="s">
        <v>11</v>
      </c>
      <c r="E57" t="s">
        <v>12</v>
      </c>
      <c r="F57" s="1">
        <v>56</v>
      </c>
      <c r="G57" s="1">
        <v>60</v>
      </c>
      <c r="H57" s="1">
        <v>62</v>
      </c>
      <c r="I57" s="1">
        <f t="shared" si="0"/>
        <v>59.333333333333336</v>
      </c>
      <c r="J57" t="str">
        <f t="shared" si="1"/>
        <v>Average</v>
      </c>
      <c r="K57" t="str">
        <f t="shared" si="2"/>
        <v>Pass</v>
      </c>
    </row>
    <row r="58" spans="1:11" x14ac:dyDescent="0.25">
      <c r="A58" t="s">
        <v>13</v>
      </c>
      <c r="B58" t="s">
        <v>23</v>
      </c>
      <c r="C58" t="s">
        <v>22</v>
      </c>
      <c r="D58" t="s">
        <v>11</v>
      </c>
      <c r="E58" t="s">
        <v>12</v>
      </c>
      <c r="F58" s="1">
        <v>67</v>
      </c>
      <c r="G58" s="1">
        <v>80</v>
      </c>
      <c r="H58" s="1">
        <v>84</v>
      </c>
      <c r="I58" s="1">
        <f t="shared" si="0"/>
        <v>77</v>
      </c>
      <c r="J58" t="str">
        <f t="shared" si="1"/>
        <v>Good</v>
      </c>
      <c r="K58" t="str">
        <f t="shared" si="2"/>
        <v>Pass</v>
      </c>
    </row>
    <row r="59" spans="1:11" x14ac:dyDescent="0.25">
      <c r="A59" t="s">
        <v>8</v>
      </c>
      <c r="B59" t="s">
        <v>14</v>
      </c>
      <c r="C59" t="s">
        <v>21</v>
      </c>
      <c r="D59" t="s">
        <v>11</v>
      </c>
      <c r="E59" t="s">
        <v>12</v>
      </c>
      <c r="F59" s="1">
        <v>88</v>
      </c>
      <c r="G59" s="1">
        <v>87</v>
      </c>
      <c r="H59" s="1">
        <v>83</v>
      </c>
      <c r="I59" s="1">
        <f t="shared" si="0"/>
        <v>86</v>
      </c>
      <c r="J59" t="str">
        <f t="shared" si="1"/>
        <v>Excellent</v>
      </c>
      <c r="K59" t="str">
        <f t="shared" si="2"/>
        <v>Pass</v>
      </c>
    </row>
    <row r="60" spans="1:11" x14ac:dyDescent="0.25">
      <c r="A60" t="s">
        <v>13</v>
      </c>
      <c r="B60" t="s">
        <v>14</v>
      </c>
      <c r="C60" t="s">
        <v>19</v>
      </c>
      <c r="D60" t="s">
        <v>16</v>
      </c>
      <c r="E60" t="s">
        <v>17</v>
      </c>
      <c r="F60" s="1">
        <v>42</v>
      </c>
      <c r="G60" s="1">
        <v>61</v>
      </c>
      <c r="H60" s="1">
        <v>51</v>
      </c>
      <c r="I60" s="1">
        <f t="shared" si="0"/>
        <v>51.333333333333336</v>
      </c>
      <c r="J60" t="str">
        <f t="shared" si="1"/>
        <v>Average</v>
      </c>
      <c r="K60" t="str">
        <f t="shared" si="2"/>
        <v>Pass</v>
      </c>
    </row>
    <row r="61" spans="1:11" x14ac:dyDescent="0.25">
      <c r="A61" t="s">
        <v>8</v>
      </c>
      <c r="B61" t="s">
        <v>18</v>
      </c>
      <c r="C61" t="s">
        <v>15</v>
      </c>
      <c r="D61" t="s">
        <v>11</v>
      </c>
      <c r="E61" t="s">
        <v>17</v>
      </c>
      <c r="F61" s="1">
        <v>68</v>
      </c>
      <c r="G61" s="1">
        <v>51</v>
      </c>
      <c r="H61" s="1">
        <v>48</v>
      </c>
      <c r="I61" s="1">
        <f t="shared" si="0"/>
        <v>55.666666666666664</v>
      </c>
      <c r="J61" t="str">
        <f t="shared" si="1"/>
        <v>Average</v>
      </c>
      <c r="K61" t="str">
        <f t="shared" si="2"/>
        <v>Pass</v>
      </c>
    </row>
    <row r="62" spans="1:11" x14ac:dyDescent="0.25">
      <c r="A62" t="s">
        <v>8</v>
      </c>
      <c r="B62" t="s">
        <v>14</v>
      </c>
      <c r="C62" t="s">
        <v>19</v>
      </c>
      <c r="D62" t="s">
        <v>16</v>
      </c>
      <c r="E62" t="s">
        <v>17</v>
      </c>
      <c r="F62" s="1">
        <v>76</v>
      </c>
      <c r="G62" s="1">
        <v>66</v>
      </c>
      <c r="H62" s="1">
        <v>68</v>
      </c>
      <c r="I62" s="1">
        <f t="shared" si="0"/>
        <v>70</v>
      </c>
      <c r="J62" t="str">
        <f t="shared" si="1"/>
        <v>Good</v>
      </c>
      <c r="K62" t="str">
        <f t="shared" si="2"/>
        <v>Pass</v>
      </c>
    </row>
    <row r="63" spans="1:11" x14ac:dyDescent="0.25">
      <c r="A63" t="s">
        <v>13</v>
      </c>
      <c r="B63" t="s">
        <v>18</v>
      </c>
      <c r="C63" t="s">
        <v>15</v>
      </c>
      <c r="D63" t="s">
        <v>11</v>
      </c>
      <c r="E63" t="s">
        <v>17</v>
      </c>
      <c r="F63" s="1">
        <v>58</v>
      </c>
      <c r="G63" s="1">
        <v>63</v>
      </c>
      <c r="H63" s="1">
        <v>59</v>
      </c>
      <c r="I63" s="1">
        <f t="shared" si="0"/>
        <v>60</v>
      </c>
      <c r="J63" t="str">
        <f t="shared" si="1"/>
        <v>Good</v>
      </c>
      <c r="K63" t="str">
        <f t="shared" si="2"/>
        <v>Pass</v>
      </c>
    </row>
    <row r="64" spans="1:11" x14ac:dyDescent="0.25">
      <c r="A64" t="s">
        <v>8</v>
      </c>
      <c r="B64" t="s">
        <v>18</v>
      </c>
      <c r="C64" t="s">
        <v>15</v>
      </c>
      <c r="D64" t="s">
        <v>11</v>
      </c>
      <c r="E64" t="s">
        <v>12</v>
      </c>
      <c r="F64" s="1">
        <v>69</v>
      </c>
      <c r="G64" s="1">
        <v>67</v>
      </c>
      <c r="H64" s="1">
        <v>62</v>
      </c>
      <c r="I64" s="1">
        <f t="shared" si="0"/>
        <v>66</v>
      </c>
      <c r="J64" t="str">
        <f t="shared" si="1"/>
        <v>Good</v>
      </c>
      <c r="K64" t="str">
        <f t="shared" si="2"/>
        <v>Pass</v>
      </c>
    </row>
    <row r="65" spans="1:11" x14ac:dyDescent="0.25">
      <c r="A65" t="s">
        <v>8</v>
      </c>
      <c r="B65" t="s">
        <v>9</v>
      </c>
      <c r="C65" t="s">
        <v>22</v>
      </c>
      <c r="D65" t="s">
        <v>11</v>
      </c>
      <c r="E65" t="s">
        <v>12</v>
      </c>
      <c r="F65" s="1">
        <v>77</v>
      </c>
      <c r="G65" s="1">
        <v>82</v>
      </c>
      <c r="H65" s="1">
        <v>78</v>
      </c>
      <c r="I65" s="1">
        <f t="shared" si="0"/>
        <v>79</v>
      </c>
      <c r="J65" t="str">
        <f t="shared" si="1"/>
        <v>Good</v>
      </c>
      <c r="K65" t="str">
        <f t="shared" si="2"/>
        <v>Pass</v>
      </c>
    </row>
    <row r="66" spans="1:11" x14ac:dyDescent="0.25">
      <c r="A66" t="s">
        <v>8</v>
      </c>
      <c r="B66" t="s">
        <v>14</v>
      </c>
      <c r="C66" t="s">
        <v>24</v>
      </c>
      <c r="D66" t="s">
        <v>11</v>
      </c>
      <c r="E66" t="s">
        <v>12</v>
      </c>
      <c r="F66" s="1">
        <v>83</v>
      </c>
      <c r="G66" s="1">
        <v>93</v>
      </c>
      <c r="H66" s="1">
        <v>97</v>
      </c>
      <c r="I66" s="1">
        <f t="shared" ref="I66:I129" si="3">AVERAGE(F66:H66)</f>
        <v>91</v>
      </c>
      <c r="J66" t="str">
        <f t="shared" ref="J66:J129" si="4">IF(I66&gt;=80,"Excellent", IF(I66&gt;=60,"Good", IF(I66&gt;=40,"Average","Poor")))</f>
        <v>Excellent</v>
      </c>
      <c r="K66" t="str">
        <f t="shared" ref="K66:K129" si="5">IF(I66&gt;=40, "Pass","Fail")</f>
        <v>Pass</v>
      </c>
    </row>
    <row r="67" spans="1:11" x14ac:dyDescent="0.25">
      <c r="A67" t="s">
        <v>13</v>
      </c>
      <c r="B67" t="s">
        <v>23</v>
      </c>
      <c r="C67" t="s">
        <v>15</v>
      </c>
      <c r="D67" t="s">
        <v>16</v>
      </c>
      <c r="E67" t="s">
        <v>12</v>
      </c>
      <c r="F67" s="1">
        <v>49</v>
      </c>
      <c r="G67" s="1">
        <v>74</v>
      </c>
      <c r="H67" s="1">
        <v>70</v>
      </c>
      <c r="I67" s="1">
        <f t="shared" si="3"/>
        <v>64.333333333333329</v>
      </c>
      <c r="J67" t="str">
        <f t="shared" si="4"/>
        <v>Good</v>
      </c>
      <c r="K67" t="str">
        <f t="shared" si="5"/>
        <v>Pass</v>
      </c>
    </row>
    <row r="68" spans="1:11" x14ac:dyDescent="0.25">
      <c r="A68" t="s">
        <v>8</v>
      </c>
      <c r="B68" t="s">
        <v>23</v>
      </c>
      <c r="C68" t="s">
        <v>10</v>
      </c>
      <c r="D68" t="s">
        <v>11</v>
      </c>
      <c r="E68" t="s">
        <v>17</v>
      </c>
      <c r="F68" s="1">
        <v>71</v>
      </c>
      <c r="G68" s="1">
        <v>60</v>
      </c>
      <c r="H68" s="1">
        <v>56</v>
      </c>
      <c r="I68" s="1">
        <f t="shared" si="3"/>
        <v>62.333333333333336</v>
      </c>
      <c r="J68" t="str">
        <f t="shared" si="4"/>
        <v>Good</v>
      </c>
      <c r="K68" t="str">
        <f t="shared" si="5"/>
        <v>Pass</v>
      </c>
    </row>
    <row r="69" spans="1:11" x14ac:dyDescent="0.25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s="1">
        <v>47</v>
      </c>
      <c r="G69" s="1">
        <v>46</v>
      </c>
      <c r="H69" s="1">
        <v>49</v>
      </c>
      <c r="I69" s="1">
        <f t="shared" si="3"/>
        <v>47.333333333333336</v>
      </c>
      <c r="J69" t="str">
        <f t="shared" si="4"/>
        <v>Average</v>
      </c>
      <c r="K69" t="str">
        <f t="shared" si="5"/>
        <v>Pass</v>
      </c>
    </row>
    <row r="70" spans="1:11" x14ac:dyDescent="0.25">
      <c r="A70" t="s">
        <v>8</v>
      </c>
      <c r="B70" t="s">
        <v>20</v>
      </c>
      <c r="C70" t="s">
        <v>10</v>
      </c>
      <c r="D70" t="s">
        <v>11</v>
      </c>
      <c r="E70" t="s">
        <v>17</v>
      </c>
      <c r="F70" s="1">
        <v>79</v>
      </c>
      <c r="G70" s="1">
        <v>64</v>
      </c>
      <c r="H70" s="1">
        <v>60</v>
      </c>
      <c r="I70" s="1">
        <f t="shared" si="3"/>
        <v>67.666666666666671</v>
      </c>
      <c r="J70" t="str">
        <f t="shared" si="4"/>
        <v>Good</v>
      </c>
      <c r="K70" t="str">
        <f t="shared" si="5"/>
        <v>Pass</v>
      </c>
    </row>
    <row r="71" spans="1:11" x14ac:dyDescent="0.25">
      <c r="A71" t="s">
        <v>13</v>
      </c>
      <c r="B71" t="s">
        <v>23</v>
      </c>
      <c r="C71" t="s">
        <v>10</v>
      </c>
      <c r="D71" t="s">
        <v>11</v>
      </c>
      <c r="E71" t="s">
        <v>17</v>
      </c>
      <c r="F71" s="1">
        <v>60</v>
      </c>
      <c r="G71" s="1">
        <v>64</v>
      </c>
      <c r="H71" s="1">
        <v>57</v>
      </c>
      <c r="I71" s="1">
        <f t="shared" si="3"/>
        <v>60.333333333333336</v>
      </c>
      <c r="J71" t="str">
        <f t="shared" si="4"/>
        <v>Good</v>
      </c>
      <c r="K71" t="str">
        <f t="shared" si="5"/>
        <v>Pass</v>
      </c>
    </row>
    <row r="72" spans="1:11" x14ac:dyDescent="0.25">
      <c r="A72" t="s">
        <v>13</v>
      </c>
      <c r="B72" t="s">
        <v>23</v>
      </c>
      <c r="C72" t="s">
        <v>21</v>
      </c>
      <c r="D72" t="s">
        <v>11</v>
      </c>
      <c r="E72" t="s">
        <v>12</v>
      </c>
      <c r="F72" s="1">
        <v>56</v>
      </c>
      <c r="G72" s="1">
        <v>68</v>
      </c>
      <c r="H72" s="1">
        <v>73</v>
      </c>
      <c r="I72" s="1">
        <f t="shared" si="3"/>
        <v>65.666666666666671</v>
      </c>
      <c r="J72" t="str">
        <f t="shared" si="4"/>
        <v>Good</v>
      </c>
      <c r="K72" t="str">
        <f t="shared" si="5"/>
        <v>Pass</v>
      </c>
    </row>
    <row r="73" spans="1:11" x14ac:dyDescent="0.25">
      <c r="A73" t="s">
        <v>8</v>
      </c>
      <c r="B73" t="s">
        <v>23</v>
      </c>
      <c r="C73" t="s">
        <v>21</v>
      </c>
      <c r="D73" t="s">
        <v>11</v>
      </c>
      <c r="E73" t="s">
        <v>17</v>
      </c>
      <c r="F73" s="1">
        <v>57</v>
      </c>
      <c r="G73" s="1">
        <v>52</v>
      </c>
      <c r="H73" s="1">
        <v>47</v>
      </c>
      <c r="I73" s="1">
        <f t="shared" si="3"/>
        <v>52</v>
      </c>
      <c r="J73" t="str">
        <f t="shared" si="4"/>
        <v>Average</v>
      </c>
      <c r="K73" t="str">
        <f t="shared" si="5"/>
        <v>Pass</v>
      </c>
    </row>
    <row r="74" spans="1:11" x14ac:dyDescent="0.25">
      <c r="A74" t="s">
        <v>13</v>
      </c>
      <c r="B74" t="s">
        <v>20</v>
      </c>
      <c r="C74" t="s">
        <v>19</v>
      </c>
      <c r="D74" t="s">
        <v>11</v>
      </c>
      <c r="E74" t="s">
        <v>17</v>
      </c>
      <c r="F74" s="1">
        <v>49</v>
      </c>
      <c r="G74" s="1">
        <v>70</v>
      </c>
      <c r="H74" s="1">
        <v>63</v>
      </c>
      <c r="I74" s="1">
        <f t="shared" si="3"/>
        <v>60.666666666666664</v>
      </c>
      <c r="J74" t="str">
        <f t="shared" si="4"/>
        <v>Good</v>
      </c>
      <c r="K74" t="str">
        <f t="shared" si="5"/>
        <v>Pass</v>
      </c>
    </row>
    <row r="75" spans="1:11" x14ac:dyDescent="0.25">
      <c r="A75" t="s">
        <v>13</v>
      </c>
      <c r="B75" t="s">
        <v>23</v>
      </c>
      <c r="C75" t="s">
        <v>15</v>
      </c>
      <c r="D75" t="s">
        <v>11</v>
      </c>
      <c r="E75" t="s">
        <v>12</v>
      </c>
      <c r="F75" s="1">
        <v>79</v>
      </c>
      <c r="G75" s="1">
        <v>76</v>
      </c>
      <c r="H75" s="1">
        <v>81</v>
      </c>
      <c r="I75" s="1">
        <f t="shared" si="3"/>
        <v>78.666666666666671</v>
      </c>
      <c r="J75" t="str">
        <f t="shared" si="4"/>
        <v>Good</v>
      </c>
      <c r="K75" t="str">
        <f t="shared" si="5"/>
        <v>Pass</v>
      </c>
    </row>
    <row r="76" spans="1:11" x14ac:dyDescent="0.25">
      <c r="A76" t="s">
        <v>8</v>
      </c>
      <c r="B76" t="s">
        <v>20</v>
      </c>
      <c r="C76" t="s">
        <v>24</v>
      </c>
      <c r="D76" t="s">
        <v>16</v>
      </c>
      <c r="E76" t="s">
        <v>17</v>
      </c>
      <c r="F76" s="1">
        <v>71</v>
      </c>
      <c r="G76" s="1">
        <v>76</v>
      </c>
      <c r="H76" s="1">
        <v>67</v>
      </c>
      <c r="I76" s="1">
        <f t="shared" si="3"/>
        <v>71.333333333333329</v>
      </c>
      <c r="J76" t="str">
        <f t="shared" si="4"/>
        <v>Good</v>
      </c>
      <c r="K76" t="str">
        <f t="shared" si="5"/>
        <v>Pass</v>
      </c>
    </row>
    <row r="77" spans="1:11" x14ac:dyDescent="0.25">
      <c r="A77" t="s">
        <v>13</v>
      </c>
      <c r="B77" t="s">
        <v>23</v>
      </c>
      <c r="C77" t="s">
        <v>10</v>
      </c>
      <c r="D77" t="s">
        <v>11</v>
      </c>
      <c r="E77" t="s">
        <v>17</v>
      </c>
      <c r="F77" s="1">
        <v>71</v>
      </c>
      <c r="G77" s="1">
        <v>77</v>
      </c>
      <c r="H77" s="1">
        <v>70</v>
      </c>
      <c r="I77" s="1">
        <f t="shared" si="3"/>
        <v>72.666666666666671</v>
      </c>
      <c r="J77" t="str">
        <f t="shared" si="4"/>
        <v>Good</v>
      </c>
      <c r="K77" t="str">
        <f t="shared" si="5"/>
        <v>Pass</v>
      </c>
    </row>
    <row r="78" spans="1:11" x14ac:dyDescent="0.25">
      <c r="A78" t="s">
        <v>13</v>
      </c>
      <c r="B78" t="s">
        <v>23</v>
      </c>
      <c r="C78" t="s">
        <v>19</v>
      </c>
      <c r="D78" t="s">
        <v>11</v>
      </c>
      <c r="E78" t="s">
        <v>17</v>
      </c>
      <c r="F78" s="1">
        <v>47</v>
      </c>
      <c r="G78" s="1">
        <v>63</v>
      </c>
      <c r="H78" s="1">
        <v>59</v>
      </c>
      <c r="I78" s="1">
        <f t="shared" si="3"/>
        <v>56.333333333333336</v>
      </c>
      <c r="J78" t="str">
        <f t="shared" si="4"/>
        <v>Average</v>
      </c>
      <c r="K78" t="str">
        <f t="shared" si="5"/>
        <v>Pass</v>
      </c>
    </row>
    <row r="79" spans="1:11" x14ac:dyDescent="0.25">
      <c r="A79" t="s">
        <v>13</v>
      </c>
      <c r="B79" t="s">
        <v>14</v>
      </c>
      <c r="C79" t="s">
        <v>10</v>
      </c>
      <c r="D79" t="s">
        <v>16</v>
      </c>
      <c r="E79" t="s">
        <v>17</v>
      </c>
      <c r="F79" s="1">
        <v>72</v>
      </c>
      <c r="G79" s="1">
        <v>91</v>
      </c>
      <c r="H79" s="1">
        <v>81</v>
      </c>
      <c r="I79" s="1">
        <f t="shared" si="3"/>
        <v>81.333333333333329</v>
      </c>
      <c r="J79" t="str">
        <f t="shared" si="4"/>
        <v>Excellent</v>
      </c>
      <c r="K79" t="str">
        <f t="shared" si="5"/>
        <v>Pass</v>
      </c>
    </row>
    <row r="80" spans="1:11" x14ac:dyDescent="0.25">
      <c r="A80" t="s">
        <v>8</v>
      </c>
      <c r="B80" t="s">
        <v>23</v>
      </c>
      <c r="C80" t="s">
        <v>21</v>
      </c>
      <c r="D80" t="s">
        <v>11</v>
      </c>
      <c r="E80" t="s">
        <v>17</v>
      </c>
      <c r="F80" s="1">
        <v>78</v>
      </c>
      <c r="G80" s="1">
        <v>73</v>
      </c>
      <c r="H80" s="1">
        <v>76</v>
      </c>
      <c r="I80" s="1">
        <f t="shared" si="3"/>
        <v>75.666666666666671</v>
      </c>
      <c r="J80" t="str">
        <f t="shared" si="4"/>
        <v>Good</v>
      </c>
      <c r="K80" t="str">
        <f t="shared" si="5"/>
        <v>Pass</v>
      </c>
    </row>
    <row r="81" spans="1:11" x14ac:dyDescent="0.25">
      <c r="A81" t="s">
        <v>8</v>
      </c>
      <c r="B81" t="s">
        <v>14</v>
      </c>
      <c r="C81" t="s">
        <v>15</v>
      </c>
      <c r="D81" t="s">
        <v>11</v>
      </c>
      <c r="E81" t="s">
        <v>17</v>
      </c>
      <c r="F81" s="1">
        <v>54</v>
      </c>
      <c r="G81" s="1">
        <v>43</v>
      </c>
      <c r="H81" s="1">
        <v>45</v>
      </c>
      <c r="I81" s="1">
        <f t="shared" si="3"/>
        <v>47.333333333333336</v>
      </c>
      <c r="J81" t="str">
        <f t="shared" si="4"/>
        <v>Average</v>
      </c>
      <c r="K81" t="str">
        <f t="shared" si="5"/>
        <v>Pass</v>
      </c>
    </row>
    <row r="82" spans="1:11" x14ac:dyDescent="0.25">
      <c r="A82" t="s">
        <v>13</v>
      </c>
      <c r="B82" t="s">
        <v>20</v>
      </c>
      <c r="C82" t="s">
        <v>22</v>
      </c>
      <c r="D82" t="s">
        <v>11</v>
      </c>
      <c r="E82" t="s">
        <v>17</v>
      </c>
      <c r="F82" s="1">
        <v>46</v>
      </c>
      <c r="G82" s="1">
        <v>59</v>
      </c>
      <c r="H82" s="1">
        <v>62</v>
      </c>
      <c r="I82" s="1">
        <f t="shared" si="3"/>
        <v>55.666666666666664</v>
      </c>
      <c r="J82" t="str">
        <f t="shared" si="4"/>
        <v>Average</v>
      </c>
      <c r="K82" t="str">
        <f t="shared" si="5"/>
        <v>Pass</v>
      </c>
    </row>
    <row r="83" spans="1:11" x14ac:dyDescent="0.25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 s="1">
        <v>31</v>
      </c>
      <c r="G83" s="1">
        <v>38</v>
      </c>
      <c r="H83" s="1">
        <v>42</v>
      </c>
      <c r="I83" s="1">
        <f t="shared" si="3"/>
        <v>37</v>
      </c>
      <c r="J83" t="str">
        <f t="shared" si="4"/>
        <v>Poor</v>
      </c>
      <c r="K83" t="str">
        <f t="shared" si="5"/>
        <v>Fail</v>
      </c>
    </row>
    <row r="84" spans="1:11" x14ac:dyDescent="0.25">
      <c r="A84" t="s">
        <v>13</v>
      </c>
      <c r="B84" t="s">
        <v>23</v>
      </c>
      <c r="C84" t="s">
        <v>21</v>
      </c>
      <c r="D84" t="s">
        <v>16</v>
      </c>
      <c r="E84" t="s">
        <v>17</v>
      </c>
      <c r="F84" s="1">
        <v>51</v>
      </c>
      <c r="G84" s="1">
        <v>59</v>
      </c>
      <c r="H84" s="1">
        <v>59</v>
      </c>
      <c r="I84" s="1">
        <f t="shared" si="3"/>
        <v>56.333333333333336</v>
      </c>
      <c r="J84" t="str">
        <f t="shared" si="4"/>
        <v>Average</v>
      </c>
      <c r="K84" t="str">
        <f t="shared" si="5"/>
        <v>Pass</v>
      </c>
    </row>
    <row r="85" spans="1:11" x14ac:dyDescent="0.25">
      <c r="A85" t="s">
        <v>8</v>
      </c>
      <c r="B85" t="s">
        <v>20</v>
      </c>
      <c r="C85" t="s">
        <v>10</v>
      </c>
      <c r="D85" t="s">
        <v>11</v>
      </c>
      <c r="E85" t="s">
        <v>12</v>
      </c>
      <c r="F85" s="1">
        <v>78</v>
      </c>
      <c r="G85" s="1">
        <v>76</v>
      </c>
      <c r="H85" s="1">
        <v>73</v>
      </c>
      <c r="I85" s="1">
        <f t="shared" si="3"/>
        <v>75.666666666666671</v>
      </c>
      <c r="J85" t="str">
        <f t="shared" si="4"/>
        <v>Good</v>
      </c>
      <c r="K85" t="str">
        <f t="shared" si="5"/>
        <v>Pass</v>
      </c>
    </row>
    <row r="86" spans="1:11" x14ac:dyDescent="0.25">
      <c r="A86" t="s">
        <v>13</v>
      </c>
      <c r="B86" t="s">
        <v>20</v>
      </c>
      <c r="C86" t="s">
        <v>21</v>
      </c>
      <c r="D86" t="s">
        <v>16</v>
      </c>
      <c r="E86" t="s">
        <v>17</v>
      </c>
      <c r="F86" s="1">
        <v>32</v>
      </c>
      <c r="G86" s="1">
        <v>41</v>
      </c>
      <c r="H86" s="1">
        <v>39</v>
      </c>
      <c r="I86" s="1">
        <f t="shared" si="3"/>
        <v>37.333333333333336</v>
      </c>
      <c r="J86" t="str">
        <f t="shared" si="4"/>
        <v>Poor</v>
      </c>
      <c r="K86" t="str">
        <f t="shared" si="5"/>
        <v>Fail</v>
      </c>
    </row>
    <row r="87" spans="1:11" x14ac:dyDescent="0.25">
      <c r="A87" t="s">
        <v>13</v>
      </c>
      <c r="B87" t="s">
        <v>23</v>
      </c>
      <c r="C87" t="s">
        <v>15</v>
      </c>
      <c r="D87" t="s">
        <v>11</v>
      </c>
      <c r="E87" t="s">
        <v>17</v>
      </c>
      <c r="F87" s="1">
        <v>53</v>
      </c>
      <c r="G87" s="1">
        <v>71</v>
      </c>
      <c r="H87" s="1">
        <v>69</v>
      </c>
      <c r="I87" s="1">
        <f t="shared" si="3"/>
        <v>64.333333333333329</v>
      </c>
      <c r="J87" t="str">
        <f t="shared" si="4"/>
        <v>Good</v>
      </c>
      <c r="K87" t="str">
        <f t="shared" si="5"/>
        <v>Pass</v>
      </c>
    </row>
    <row r="88" spans="1:11" x14ac:dyDescent="0.25">
      <c r="A88" t="s">
        <v>13</v>
      </c>
      <c r="B88" t="s">
        <v>23</v>
      </c>
      <c r="C88" t="s">
        <v>19</v>
      </c>
      <c r="D88" t="s">
        <v>16</v>
      </c>
      <c r="E88" t="s">
        <v>17</v>
      </c>
      <c r="F88" s="1">
        <v>63</v>
      </c>
      <c r="G88" s="1">
        <v>76</v>
      </c>
      <c r="H88" s="1">
        <v>69</v>
      </c>
      <c r="I88" s="1">
        <f t="shared" si="3"/>
        <v>69.333333333333329</v>
      </c>
      <c r="J88" t="str">
        <f t="shared" si="4"/>
        <v>Good</v>
      </c>
      <c r="K88" t="str">
        <f t="shared" si="5"/>
        <v>Pass</v>
      </c>
    </row>
    <row r="89" spans="1:11" x14ac:dyDescent="0.25">
      <c r="A89" t="s">
        <v>8</v>
      </c>
      <c r="B89" t="s">
        <v>14</v>
      </c>
      <c r="C89" t="s">
        <v>19</v>
      </c>
      <c r="D89" t="s">
        <v>11</v>
      </c>
      <c r="E89" t="s">
        <v>17</v>
      </c>
      <c r="F89" s="1">
        <v>97</v>
      </c>
      <c r="G89" s="1">
        <v>93</v>
      </c>
      <c r="H89" s="1">
        <v>88</v>
      </c>
      <c r="I89" s="1">
        <f t="shared" si="3"/>
        <v>92.666666666666671</v>
      </c>
      <c r="J89" t="str">
        <f t="shared" si="4"/>
        <v>Excellent</v>
      </c>
      <c r="K89" t="str">
        <f t="shared" si="5"/>
        <v>Pass</v>
      </c>
    </row>
    <row r="90" spans="1:11" x14ac:dyDescent="0.25">
      <c r="A90" t="s">
        <v>13</v>
      </c>
      <c r="B90" t="s">
        <v>14</v>
      </c>
      <c r="C90" t="s">
        <v>19</v>
      </c>
      <c r="D90" t="s">
        <v>11</v>
      </c>
      <c r="E90" t="s">
        <v>17</v>
      </c>
      <c r="F90" s="1">
        <v>56</v>
      </c>
      <c r="G90" s="1">
        <v>52</v>
      </c>
      <c r="H90" s="1">
        <v>61</v>
      </c>
      <c r="I90" s="1">
        <f t="shared" si="3"/>
        <v>56.333333333333336</v>
      </c>
      <c r="J90" t="str">
        <f t="shared" si="4"/>
        <v>Average</v>
      </c>
      <c r="K90" t="str">
        <f t="shared" si="5"/>
        <v>Pass</v>
      </c>
    </row>
    <row r="91" spans="1:11" x14ac:dyDescent="0.25">
      <c r="A91" t="s">
        <v>8</v>
      </c>
      <c r="B91" t="s">
        <v>20</v>
      </c>
      <c r="C91" t="s">
        <v>10</v>
      </c>
      <c r="D91" t="s">
        <v>11</v>
      </c>
      <c r="E91" t="s">
        <v>17</v>
      </c>
      <c r="F91" s="1">
        <v>72</v>
      </c>
      <c r="G91" s="1">
        <v>76</v>
      </c>
      <c r="H91" s="1">
        <v>72</v>
      </c>
      <c r="I91" s="1">
        <f t="shared" si="3"/>
        <v>73.333333333333329</v>
      </c>
      <c r="J91" t="str">
        <f t="shared" si="4"/>
        <v>Good</v>
      </c>
      <c r="K91" t="str">
        <f t="shared" si="5"/>
        <v>Pass</v>
      </c>
    </row>
    <row r="92" spans="1:11" x14ac:dyDescent="0.25">
      <c r="A92" t="s">
        <v>8</v>
      </c>
      <c r="B92" t="s">
        <v>23</v>
      </c>
      <c r="C92" t="s">
        <v>19</v>
      </c>
      <c r="D92" t="s">
        <v>16</v>
      </c>
      <c r="E92" t="s">
        <v>17</v>
      </c>
      <c r="F92" s="1">
        <v>57</v>
      </c>
      <c r="G92" s="1">
        <v>47</v>
      </c>
      <c r="H92" s="1">
        <v>42</v>
      </c>
      <c r="I92" s="1">
        <f t="shared" si="3"/>
        <v>48.666666666666664</v>
      </c>
      <c r="J92" t="str">
        <f t="shared" si="4"/>
        <v>Average</v>
      </c>
      <c r="K92" t="str">
        <f t="shared" si="5"/>
        <v>Pass</v>
      </c>
    </row>
    <row r="93" spans="1:11" x14ac:dyDescent="0.25">
      <c r="A93" t="s">
        <v>8</v>
      </c>
      <c r="B93" t="s">
        <v>20</v>
      </c>
      <c r="C93" t="s">
        <v>15</v>
      </c>
      <c r="D93" t="s">
        <v>11</v>
      </c>
      <c r="E93" t="s">
        <v>17</v>
      </c>
      <c r="F93" s="1">
        <v>74</v>
      </c>
      <c r="G93" s="1">
        <v>71</v>
      </c>
      <c r="H93" s="1">
        <v>70</v>
      </c>
      <c r="I93" s="1">
        <f t="shared" si="3"/>
        <v>71.666666666666671</v>
      </c>
      <c r="J93" t="str">
        <f t="shared" si="4"/>
        <v>Good</v>
      </c>
      <c r="K93" t="str">
        <f t="shared" si="5"/>
        <v>Pass</v>
      </c>
    </row>
    <row r="94" spans="1:11" x14ac:dyDescent="0.25">
      <c r="A94" t="s">
        <v>13</v>
      </c>
      <c r="B94" t="s">
        <v>14</v>
      </c>
      <c r="C94" t="s">
        <v>24</v>
      </c>
      <c r="D94" t="s">
        <v>11</v>
      </c>
      <c r="E94" t="s">
        <v>17</v>
      </c>
      <c r="F94" s="1">
        <v>81</v>
      </c>
      <c r="G94" s="1">
        <v>81</v>
      </c>
      <c r="H94" s="1">
        <v>87</v>
      </c>
      <c r="I94" s="1">
        <f t="shared" si="3"/>
        <v>83</v>
      </c>
      <c r="J94" t="str">
        <f t="shared" si="4"/>
        <v>Excellent</v>
      </c>
      <c r="K94" t="str">
        <f t="shared" si="5"/>
        <v>Pass</v>
      </c>
    </row>
    <row r="95" spans="1:11" x14ac:dyDescent="0.25">
      <c r="A95" t="s">
        <v>8</v>
      </c>
      <c r="B95" t="s">
        <v>14</v>
      </c>
      <c r="C95" t="s">
        <v>22</v>
      </c>
      <c r="D95" t="s">
        <v>11</v>
      </c>
      <c r="E95" t="s">
        <v>12</v>
      </c>
      <c r="F95" s="1">
        <v>94</v>
      </c>
      <c r="G95" s="1">
        <v>87</v>
      </c>
      <c r="H95" s="1">
        <v>93</v>
      </c>
      <c r="I95" s="1">
        <f t="shared" si="3"/>
        <v>91.333333333333329</v>
      </c>
      <c r="J95" t="str">
        <f t="shared" si="4"/>
        <v>Excellent</v>
      </c>
      <c r="K95" t="str">
        <f t="shared" si="5"/>
        <v>Pass</v>
      </c>
    </row>
    <row r="96" spans="1:11" x14ac:dyDescent="0.25">
      <c r="A96" t="s">
        <v>8</v>
      </c>
      <c r="B96" t="s">
        <v>20</v>
      </c>
      <c r="C96" t="s">
        <v>24</v>
      </c>
      <c r="D96" t="s">
        <v>16</v>
      </c>
      <c r="E96" t="s">
        <v>17</v>
      </c>
      <c r="F96" s="1">
        <v>81</v>
      </c>
      <c r="G96" s="1">
        <v>73</v>
      </c>
      <c r="H96" s="1">
        <v>72</v>
      </c>
      <c r="I96" s="1">
        <f t="shared" si="3"/>
        <v>75.333333333333329</v>
      </c>
      <c r="J96" t="str">
        <f t="shared" si="4"/>
        <v>Good</v>
      </c>
      <c r="K96" t="str">
        <f t="shared" si="5"/>
        <v>Pass</v>
      </c>
    </row>
    <row r="97" spans="1:11" x14ac:dyDescent="0.25">
      <c r="A97" t="s">
        <v>13</v>
      </c>
      <c r="B97" t="s">
        <v>23</v>
      </c>
      <c r="C97" t="s">
        <v>10</v>
      </c>
      <c r="D97" t="s">
        <v>11</v>
      </c>
      <c r="E97" t="s">
        <v>12</v>
      </c>
      <c r="F97" s="1">
        <v>58</v>
      </c>
      <c r="G97" s="1">
        <v>63</v>
      </c>
      <c r="H97" s="1">
        <v>67</v>
      </c>
      <c r="I97" s="1">
        <f t="shared" si="3"/>
        <v>62.666666666666664</v>
      </c>
      <c r="J97" t="str">
        <f t="shared" si="4"/>
        <v>Good</v>
      </c>
      <c r="K97" t="str">
        <f t="shared" si="5"/>
        <v>Pass</v>
      </c>
    </row>
    <row r="98" spans="1:11" x14ac:dyDescent="0.25">
      <c r="A98" t="s">
        <v>13</v>
      </c>
      <c r="B98" t="s">
        <v>18</v>
      </c>
      <c r="C98" t="s">
        <v>21</v>
      </c>
      <c r="D98" t="s">
        <v>11</v>
      </c>
      <c r="E98" t="s">
        <v>12</v>
      </c>
      <c r="F98" s="1">
        <v>95</v>
      </c>
      <c r="G98" s="1">
        <v>100</v>
      </c>
      <c r="H98" s="1">
        <v>100</v>
      </c>
      <c r="I98" s="1">
        <f t="shared" si="3"/>
        <v>98.333333333333329</v>
      </c>
      <c r="J98" t="str">
        <f t="shared" si="4"/>
        <v>Excellent</v>
      </c>
      <c r="K98" t="str">
        <f t="shared" si="5"/>
        <v>Pass</v>
      </c>
    </row>
    <row r="99" spans="1:11" x14ac:dyDescent="0.25">
      <c r="A99" t="s">
        <v>8</v>
      </c>
      <c r="B99" t="s">
        <v>20</v>
      </c>
      <c r="C99" t="s">
        <v>10</v>
      </c>
      <c r="D99" t="s">
        <v>16</v>
      </c>
      <c r="E99" t="s">
        <v>17</v>
      </c>
      <c r="F99" s="1">
        <v>45</v>
      </c>
      <c r="G99" s="1">
        <v>52</v>
      </c>
      <c r="H99" s="1">
        <v>49</v>
      </c>
      <c r="I99" s="1">
        <f t="shared" si="3"/>
        <v>48.666666666666664</v>
      </c>
      <c r="J99" t="str">
        <f t="shared" si="4"/>
        <v>Average</v>
      </c>
      <c r="K99" t="str">
        <f t="shared" si="5"/>
        <v>Pass</v>
      </c>
    </row>
    <row r="100" spans="1:11" x14ac:dyDescent="0.25">
      <c r="A100" t="s">
        <v>8</v>
      </c>
      <c r="B100" t="s">
        <v>9</v>
      </c>
      <c r="C100" t="s">
        <v>19</v>
      </c>
      <c r="D100" t="s">
        <v>11</v>
      </c>
      <c r="E100" t="s">
        <v>17</v>
      </c>
      <c r="F100" s="1">
        <v>63</v>
      </c>
      <c r="G100" s="1">
        <v>50</v>
      </c>
      <c r="H100" s="1">
        <v>49</v>
      </c>
      <c r="I100" s="1">
        <f t="shared" si="3"/>
        <v>54</v>
      </c>
      <c r="J100" t="str">
        <f t="shared" si="4"/>
        <v>Average</v>
      </c>
      <c r="K100" t="str">
        <f t="shared" si="5"/>
        <v>Pass</v>
      </c>
    </row>
    <row r="101" spans="1:11" x14ac:dyDescent="0.25">
      <c r="A101" t="s">
        <v>8</v>
      </c>
      <c r="B101" t="s">
        <v>20</v>
      </c>
      <c r="C101" t="s">
        <v>21</v>
      </c>
      <c r="D101" t="s">
        <v>11</v>
      </c>
      <c r="E101" t="s">
        <v>17</v>
      </c>
      <c r="F101" s="1">
        <v>60</v>
      </c>
      <c r="G101" s="1">
        <v>54</v>
      </c>
      <c r="H101" s="1">
        <v>53</v>
      </c>
      <c r="I101" s="1">
        <f t="shared" si="3"/>
        <v>55.666666666666664</v>
      </c>
      <c r="J101" t="str">
        <f t="shared" si="4"/>
        <v>Average</v>
      </c>
      <c r="K101" t="str">
        <f t="shared" si="5"/>
        <v>Pass</v>
      </c>
    </row>
    <row r="102" spans="1:11" x14ac:dyDescent="0.25">
      <c r="A102" t="s">
        <v>8</v>
      </c>
      <c r="B102" t="s">
        <v>23</v>
      </c>
      <c r="C102" t="s">
        <v>19</v>
      </c>
      <c r="D102" t="s">
        <v>16</v>
      </c>
      <c r="E102" t="s">
        <v>12</v>
      </c>
      <c r="F102" s="1">
        <v>54</v>
      </c>
      <c r="G102" s="1">
        <v>61</v>
      </c>
      <c r="H102" s="1">
        <v>62</v>
      </c>
      <c r="I102" s="1">
        <f t="shared" si="3"/>
        <v>59</v>
      </c>
      <c r="J102" t="str">
        <f t="shared" si="4"/>
        <v>Average</v>
      </c>
      <c r="K102" t="str">
        <f t="shared" si="5"/>
        <v>Pass</v>
      </c>
    </row>
    <row r="103" spans="1:11" x14ac:dyDescent="0.25">
      <c r="A103" t="s">
        <v>8</v>
      </c>
      <c r="B103" t="s">
        <v>23</v>
      </c>
      <c r="C103" t="s">
        <v>19</v>
      </c>
      <c r="D103" t="s">
        <v>11</v>
      </c>
      <c r="E103" t="s">
        <v>12</v>
      </c>
      <c r="F103" s="1">
        <v>75</v>
      </c>
      <c r="G103" s="1">
        <v>78</v>
      </c>
      <c r="H103" s="1">
        <v>79</v>
      </c>
      <c r="I103" s="1">
        <f t="shared" si="3"/>
        <v>77.333333333333329</v>
      </c>
      <c r="J103" t="str">
        <f t="shared" si="4"/>
        <v>Good</v>
      </c>
      <c r="K103" t="str">
        <f t="shared" si="5"/>
        <v>Pass</v>
      </c>
    </row>
    <row r="104" spans="1:11" x14ac:dyDescent="0.25">
      <c r="A104" t="s">
        <v>8</v>
      </c>
      <c r="B104" t="s">
        <v>18</v>
      </c>
      <c r="C104" t="s">
        <v>10</v>
      </c>
      <c r="D104" t="s">
        <v>11</v>
      </c>
      <c r="E104" t="s">
        <v>17</v>
      </c>
      <c r="F104" s="1">
        <v>79</v>
      </c>
      <c r="G104" s="1">
        <v>78</v>
      </c>
      <c r="H104" s="1">
        <v>77</v>
      </c>
      <c r="I104" s="1">
        <f t="shared" si="3"/>
        <v>78</v>
      </c>
      <c r="J104" t="str">
        <f t="shared" si="4"/>
        <v>Good</v>
      </c>
      <c r="K104" t="str">
        <f t="shared" si="5"/>
        <v>Pass</v>
      </c>
    </row>
    <row r="105" spans="1:11" x14ac:dyDescent="0.25">
      <c r="A105" t="s">
        <v>8</v>
      </c>
      <c r="B105" t="s">
        <v>14</v>
      </c>
      <c r="C105" t="s">
        <v>10</v>
      </c>
      <c r="D105" t="s">
        <v>11</v>
      </c>
      <c r="E105" t="s">
        <v>17</v>
      </c>
      <c r="F105" s="1">
        <v>66</v>
      </c>
      <c r="G105" s="1">
        <v>67</v>
      </c>
      <c r="H105" s="1">
        <v>67</v>
      </c>
      <c r="I105" s="1">
        <f t="shared" si="3"/>
        <v>66.666666666666671</v>
      </c>
      <c r="J105" t="str">
        <f t="shared" si="4"/>
        <v>Good</v>
      </c>
      <c r="K105" t="str">
        <f t="shared" si="5"/>
        <v>Pass</v>
      </c>
    </row>
    <row r="106" spans="1:11" x14ac:dyDescent="0.25">
      <c r="A106" t="s">
        <v>13</v>
      </c>
      <c r="B106" t="s">
        <v>20</v>
      </c>
      <c r="C106" t="s">
        <v>19</v>
      </c>
      <c r="D106" t="s">
        <v>11</v>
      </c>
      <c r="E106" t="s">
        <v>17</v>
      </c>
      <c r="F106" s="1">
        <v>47</v>
      </c>
      <c r="G106" s="1">
        <v>58</v>
      </c>
      <c r="H106" s="1">
        <v>58</v>
      </c>
      <c r="I106" s="1">
        <f t="shared" si="3"/>
        <v>54.333333333333336</v>
      </c>
      <c r="J106" t="str">
        <f t="shared" si="4"/>
        <v>Average</v>
      </c>
      <c r="K106" t="str">
        <f t="shared" si="5"/>
        <v>Pass</v>
      </c>
    </row>
    <row r="107" spans="1:11" x14ac:dyDescent="0.25">
      <c r="A107" t="s">
        <v>13</v>
      </c>
      <c r="B107" t="s">
        <v>14</v>
      </c>
      <c r="C107" t="s">
        <v>22</v>
      </c>
      <c r="D107" t="s">
        <v>11</v>
      </c>
      <c r="E107" t="s">
        <v>17</v>
      </c>
      <c r="F107" s="1">
        <v>70</v>
      </c>
      <c r="G107" s="1">
        <v>78</v>
      </c>
      <c r="H107" s="1">
        <v>82</v>
      </c>
      <c r="I107" s="1">
        <f t="shared" si="3"/>
        <v>76.666666666666671</v>
      </c>
      <c r="J107" t="str">
        <f t="shared" si="4"/>
        <v>Good</v>
      </c>
      <c r="K107" t="str">
        <f t="shared" si="5"/>
        <v>Pass</v>
      </c>
    </row>
    <row r="108" spans="1:11" x14ac:dyDescent="0.25">
      <c r="A108" t="s">
        <v>8</v>
      </c>
      <c r="B108" t="s">
        <v>14</v>
      </c>
      <c r="C108" t="s">
        <v>10</v>
      </c>
      <c r="D108" t="s">
        <v>11</v>
      </c>
      <c r="E108" t="s">
        <v>17</v>
      </c>
      <c r="F108" s="1">
        <v>82</v>
      </c>
      <c r="G108" s="1">
        <v>74</v>
      </c>
      <c r="H108" s="1">
        <v>73</v>
      </c>
      <c r="I108" s="1">
        <f t="shared" si="3"/>
        <v>76.333333333333329</v>
      </c>
      <c r="J108" t="str">
        <f t="shared" si="4"/>
        <v>Good</v>
      </c>
      <c r="K108" t="str">
        <f t="shared" si="5"/>
        <v>Pass</v>
      </c>
    </row>
    <row r="109" spans="1:11" x14ac:dyDescent="0.25">
      <c r="A109" t="s">
        <v>8</v>
      </c>
      <c r="B109" t="s">
        <v>9</v>
      </c>
      <c r="C109" t="s">
        <v>22</v>
      </c>
      <c r="D109" t="s">
        <v>11</v>
      </c>
      <c r="E109" t="s">
        <v>17</v>
      </c>
      <c r="F109" s="1">
        <v>56</v>
      </c>
      <c r="G109" s="1">
        <v>38</v>
      </c>
      <c r="H109" s="1">
        <v>44</v>
      </c>
      <c r="I109" s="1">
        <f t="shared" si="3"/>
        <v>46</v>
      </c>
      <c r="J109" t="str">
        <f t="shared" si="4"/>
        <v>Average</v>
      </c>
      <c r="K109" t="str">
        <f t="shared" si="5"/>
        <v>Pass</v>
      </c>
    </row>
    <row r="110" spans="1:11" x14ac:dyDescent="0.25">
      <c r="A110" t="s">
        <v>8</v>
      </c>
      <c r="B110" t="s">
        <v>20</v>
      </c>
      <c r="C110" t="s">
        <v>21</v>
      </c>
      <c r="D110" t="s">
        <v>11</v>
      </c>
      <c r="E110" t="s">
        <v>17</v>
      </c>
      <c r="F110" s="1">
        <v>92</v>
      </c>
      <c r="G110" s="1">
        <v>78</v>
      </c>
      <c r="H110" s="1">
        <v>71</v>
      </c>
      <c r="I110" s="1">
        <f t="shared" si="3"/>
        <v>80.333333333333329</v>
      </c>
      <c r="J110" t="str">
        <f t="shared" si="4"/>
        <v>Excellent</v>
      </c>
      <c r="K110" t="str">
        <f t="shared" si="5"/>
        <v>Pass</v>
      </c>
    </row>
    <row r="111" spans="1:11" x14ac:dyDescent="0.25">
      <c r="A111" t="s">
        <v>8</v>
      </c>
      <c r="B111" t="s">
        <v>23</v>
      </c>
      <c r="C111" t="s">
        <v>19</v>
      </c>
      <c r="D111" t="s">
        <v>16</v>
      </c>
      <c r="E111" t="s">
        <v>17</v>
      </c>
      <c r="F111" s="1">
        <v>30</v>
      </c>
      <c r="G111" s="1">
        <v>33</v>
      </c>
      <c r="H111" s="1">
        <v>33</v>
      </c>
      <c r="I111" s="1">
        <f t="shared" si="3"/>
        <v>32</v>
      </c>
      <c r="J111" t="str">
        <f t="shared" si="4"/>
        <v>Poor</v>
      </c>
      <c r="K111" t="str">
        <f t="shared" si="5"/>
        <v>Fail</v>
      </c>
    </row>
    <row r="112" spans="1:11" x14ac:dyDescent="0.25">
      <c r="A112" t="s">
        <v>13</v>
      </c>
      <c r="B112" t="s">
        <v>23</v>
      </c>
      <c r="C112" t="s">
        <v>19</v>
      </c>
      <c r="D112" t="s">
        <v>11</v>
      </c>
      <c r="E112" t="s">
        <v>12</v>
      </c>
      <c r="F112" s="1">
        <v>79</v>
      </c>
      <c r="G112" s="1">
        <v>88</v>
      </c>
      <c r="H112" s="1">
        <v>86</v>
      </c>
      <c r="I112" s="1">
        <f t="shared" si="3"/>
        <v>84.333333333333329</v>
      </c>
      <c r="J112" t="str">
        <f t="shared" si="4"/>
        <v>Excellent</v>
      </c>
      <c r="K112" t="str">
        <f t="shared" si="5"/>
        <v>Pass</v>
      </c>
    </row>
    <row r="113" spans="1:11" x14ac:dyDescent="0.25">
      <c r="A113" t="s">
        <v>13</v>
      </c>
      <c r="B113" t="s">
        <v>14</v>
      </c>
      <c r="C113" t="s">
        <v>15</v>
      </c>
      <c r="D113" t="s">
        <v>11</v>
      </c>
      <c r="E113" t="s">
        <v>17</v>
      </c>
      <c r="F113" s="1">
        <v>41</v>
      </c>
      <c r="G113" s="1">
        <v>52</v>
      </c>
      <c r="H113" s="1">
        <v>47</v>
      </c>
      <c r="I113" s="1">
        <f t="shared" si="3"/>
        <v>46.666666666666664</v>
      </c>
      <c r="J113" t="str">
        <f t="shared" si="4"/>
        <v>Average</v>
      </c>
      <c r="K113" t="str">
        <f t="shared" si="5"/>
        <v>Pass</v>
      </c>
    </row>
    <row r="114" spans="1:11" x14ac:dyDescent="0.25">
      <c r="A114" t="s">
        <v>13</v>
      </c>
      <c r="B114" t="s">
        <v>23</v>
      </c>
      <c r="C114" t="s">
        <v>24</v>
      </c>
      <c r="D114" t="s">
        <v>11</v>
      </c>
      <c r="E114" t="s">
        <v>17</v>
      </c>
      <c r="F114" s="1">
        <v>63</v>
      </c>
      <c r="G114" s="1">
        <v>82</v>
      </c>
      <c r="H114" s="1">
        <v>71</v>
      </c>
      <c r="I114" s="1">
        <f t="shared" si="3"/>
        <v>72</v>
      </c>
      <c r="J114" t="str">
        <f t="shared" si="4"/>
        <v>Good</v>
      </c>
      <c r="K114" t="str">
        <f t="shared" si="5"/>
        <v>Pass</v>
      </c>
    </row>
    <row r="115" spans="1:11" x14ac:dyDescent="0.25">
      <c r="A115" t="s">
        <v>8</v>
      </c>
      <c r="B115" t="s">
        <v>9</v>
      </c>
      <c r="C115" t="s">
        <v>22</v>
      </c>
      <c r="D115" t="s">
        <v>16</v>
      </c>
      <c r="E115" t="s">
        <v>17</v>
      </c>
      <c r="F115" s="1">
        <v>43</v>
      </c>
      <c r="G115" s="1">
        <v>34</v>
      </c>
      <c r="H115" s="1">
        <v>33</v>
      </c>
      <c r="I115" s="1">
        <f t="shared" si="3"/>
        <v>36.666666666666664</v>
      </c>
      <c r="J115" t="str">
        <f t="shared" si="4"/>
        <v>Poor</v>
      </c>
      <c r="K115" t="str">
        <f t="shared" si="5"/>
        <v>Fail</v>
      </c>
    </row>
    <row r="116" spans="1:11" x14ac:dyDescent="0.25">
      <c r="A116" t="s">
        <v>8</v>
      </c>
      <c r="B116" t="s">
        <v>14</v>
      </c>
      <c r="C116" t="s">
        <v>10</v>
      </c>
      <c r="D116" t="s">
        <v>11</v>
      </c>
      <c r="E116" t="s">
        <v>17</v>
      </c>
      <c r="F116" s="1">
        <v>77</v>
      </c>
      <c r="G116" s="1">
        <v>76</v>
      </c>
      <c r="H116" s="1">
        <v>74</v>
      </c>
      <c r="I116" s="1">
        <f t="shared" si="3"/>
        <v>75.666666666666671</v>
      </c>
      <c r="J116" t="str">
        <f t="shared" si="4"/>
        <v>Good</v>
      </c>
      <c r="K116" t="str">
        <f t="shared" si="5"/>
        <v>Pass</v>
      </c>
    </row>
    <row r="117" spans="1:11" x14ac:dyDescent="0.25">
      <c r="A117" t="s">
        <v>8</v>
      </c>
      <c r="B117" t="s">
        <v>20</v>
      </c>
      <c r="C117" t="s">
        <v>21</v>
      </c>
      <c r="D117" t="s">
        <v>11</v>
      </c>
      <c r="E117" t="s">
        <v>12</v>
      </c>
      <c r="F117" s="1">
        <v>76</v>
      </c>
      <c r="G117" s="1">
        <v>79</v>
      </c>
      <c r="H117" s="1">
        <v>76</v>
      </c>
      <c r="I117" s="1">
        <f t="shared" si="3"/>
        <v>77</v>
      </c>
      <c r="J117" t="str">
        <f t="shared" si="4"/>
        <v>Good</v>
      </c>
      <c r="K117" t="str">
        <f t="shared" si="5"/>
        <v>Pass</v>
      </c>
    </row>
    <row r="118" spans="1:11" x14ac:dyDescent="0.25">
      <c r="A118" t="s">
        <v>13</v>
      </c>
      <c r="B118" t="s">
        <v>18</v>
      </c>
      <c r="C118" t="s">
        <v>19</v>
      </c>
      <c r="D118" t="s">
        <v>16</v>
      </c>
      <c r="E118" t="s">
        <v>17</v>
      </c>
      <c r="F118" s="1">
        <v>49</v>
      </c>
      <c r="G118" s="1">
        <v>61</v>
      </c>
      <c r="H118" s="1">
        <v>63</v>
      </c>
      <c r="I118" s="1">
        <f t="shared" si="3"/>
        <v>57.666666666666664</v>
      </c>
      <c r="J118" t="str">
        <f t="shared" si="4"/>
        <v>Average</v>
      </c>
      <c r="K118" t="str">
        <f t="shared" si="5"/>
        <v>Pass</v>
      </c>
    </row>
    <row r="119" spans="1:11" x14ac:dyDescent="0.25">
      <c r="A119" t="s">
        <v>8</v>
      </c>
      <c r="B119" t="s">
        <v>23</v>
      </c>
      <c r="C119" t="s">
        <v>21</v>
      </c>
      <c r="D119" t="s">
        <v>11</v>
      </c>
      <c r="E119" t="s">
        <v>12</v>
      </c>
      <c r="F119" s="1">
        <v>59</v>
      </c>
      <c r="G119" s="1">
        <v>57</v>
      </c>
      <c r="H119" s="1">
        <v>55</v>
      </c>
      <c r="I119" s="1">
        <f t="shared" si="3"/>
        <v>57</v>
      </c>
      <c r="J119" t="str">
        <f t="shared" si="4"/>
        <v>Average</v>
      </c>
      <c r="K119" t="str">
        <f t="shared" si="5"/>
        <v>Pass</v>
      </c>
    </row>
    <row r="120" spans="1:11" x14ac:dyDescent="0.25">
      <c r="A120" t="s">
        <v>8</v>
      </c>
      <c r="B120" t="s">
        <v>20</v>
      </c>
      <c r="C120" t="s">
        <v>22</v>
      </c>
      <c r="D120" t="s">
        <v>16</v>
      </c>
      <c r="E120" t="s">
        <v>17</v>
      </c>
      <c r="F120" s="1">
        <v>59</v>
      </c>
      <c r="G120" s="1">
        <v>70</v>
      </c>
      <c r="H120" s="1">
        <v>58</v>
      </c>
      <c r="I120" s="1">
        <f t="shared" si="3"/>
        <v>62.333333333333336</v>
      </c>
      <c r="J120" t="str">
        <f t="shared" si="4"/>
        <v>Good</v>
      </c>
      <c r="K120" t="str">
        <f t="shared" si="5"/>
        <v>Pass</v>
      </c>
    </row>
    <row r="121" spans="1:11" x14ac:dyDescent="0.25">
      <c r="A121" t="s">
        <v>13</v>
      </c>
      <c r="B121" t="s">
        <v>14</v>
      </c>
      <c r="C121" t="s">
        <v>15</v>
      </c>
      <c r="D121" t="s">
        <v>11</v>
      </c>
      <c r="E121" t="s">
        <v>12</v>
      </c>
      <c r="F121" s="1">
        <v>76</v>
      </c>
      <c r="G121" s="1">
        <v>90</v>
      </c>
      <c r="H121" s="1">
        <v>87</v>
      </c>
      <c r="I121" s="1">
        <f t="shared" si="3"/>
        <v>84.333333333333329</v>
      </c>
      <c r="J121" t="str">
        <f t="shared" si="4"/>
        <v>Excellent</v>
      </c>
      <c r="K121" t="str">
        <f t="shared" si="5"/>
        <v>Pass</v>
      </c>
    </row>
    <row r="122" spans="1:11" x14ac:dyDescent="0.25">
      <c r="A122" t="s">
        <v>13</v>
      </c>
      <c r="B122" t="s">
        <v>23</v>
      </c>
      <c r="C122" t="s">
        <v>10</v>
      </c>
      <c r="D122" t="s">
        <v>11</v>
      </c>
      <c r="E122" t="s">
        <v>12</v>
      </c>
      <c r="F122" s="1">
        <v>55</v>
      </c>
      <c r="G122" s="1">
        <v>71</v>
      </c>
      <c r="H122" s="1">
        <v>71</v>
      </c>
      <c r="I122" s="1">
        <f t="shared" si="3"/>
        <v>65.666666666666671</v>
      </c>
      <c r="J122" t="str">
        <f t="shared" si="4"/>
        <v>Good</v>
      </c>
      <c r="K122" t="str">
        <f t="shared" si="5"/>
        <v>Pass</v>
      </c>
    </row>
    <row r="123" spans="1:11" x14ac:dyDescent="0.25">
      <c r="A123" t="s">
        <v>13</v>
      </c>
      <c r="B123" t="s">
        <v>14</v>
      </c>
      <c r="C123" t="s">
        <v>22</v>
      </c>
      <c r="D123" t="s">
        <v>11</v>
      </c>
      <c r="E123" t="s">
        <v>12</v>
      </c>
      <c r="F123" s="1">
        <v>78</v>
      </c>
      <c r="G123" s="1">
        <v>87</v>
      </c>
      <c r="H123" s="1">
        <v>89</v>
      </c>
      <c r="I123" s="1">
        <f t="shared" si="3"/>
        <v>84.666666666666671</v>
      </c>
      <c r="J123" t="str">
        <f t="shared" si="4"/>
        <v>Excellent</v>
      </c>
      <c r="K123" t="str">
        <f t="shared" si="5"/>
        <v>Pass</v>
      </c>
    </row>
    <row r="124" spans="1:11" x14ac:dyDescent="0.25">
      <c r="A124" t="s">
        <v>13</v>
      </c>
      <c r="B124" t="s">
        <v>23</v>
      </c>
      <c r="C124" t="s">
        <v>22</v>
      </c>
      <c r="D124" t="s">
        <v>11</v>
      </c>
      <c r="E124" t="s">
        <v>12</v>
      </c>
      <c r="F124" s="1">
        <v>51</v>
      </c>
      <c r="G124" s="1">
        <v>53</v>
      </c>
      <c r="H124" s="1">
        <v>62</v>
      </c>
      <c r="I124" s="1">
        <f t="shared" si="3"/>
        <v>55.333333333333336</v>
      </c>
      <c r="J124" t="str">
        <f t="shared" si="4"/>
        <v>Average</v>
      </c>
      <c r="K124" t="str">
        <f t="shared" si="5"/>
        <v>Pass</v>
      </c>
    </row>
    <row r="125" spans="1:11" x14ac:dyDescent="0.25">
      <c r="A125" t="s">
        <v>13</v>
      </c>
      <c r="B125" t="s">
        <v>23</v>
      </c>
      <c r="C125" t="s">
        <v>15</v>
      </c>
      <c r="D125" t="s">
        <v>11</v>
      </c>
      <c r="E125" t="s">
        <v>12</v>
      </c>
      <c r="F125" s="1">
        <v>41</v>
      </c>
      <c r="G125" s="1">
        <v>43</v>
      </c>
      <c r="H125" s="1">
        <v>45</v>
      </c>
      <c r="I125" s="1">
        <f t="shared" si="3"/>
        <v>43</v>
      </c>
      <c r="J125" t="str">
        <f t="shared" si="4"/>
        <v>Average</v>
      </c>
      <c r="K125" t="str">
        <f t="shared" si="5"/>
        <v>Pass</v>
      </c>
    </row>
    <row r="126" spans="1:11" x14ac:dyDescent="0.25">
      <c r="A126" t="s">
        <v>13</v>
      </c>
      <c r="B126" t="s">
        <v>14</v>
      </c>
      <c r="C126" t="s">
        <v>21</v>
      </c>
      <c r="D126" t="s">
        <v>11</v>
      </c>
      <c r="E126" t="s">
        <v>17</v>
      </c>
      <c r="F126" s="1">
        <v>74</v>
      </c>
      <c r="G126" s="1">
        <v>78</v>
      </c>
      <c r="H126" s="1">
        <v>86</v>
      </c>
      <c r="I126" s="1">
        <f t="shared" si="3"/>
        <v>79.333333333333329</v>
      </c>
      <c r="J126" t="str">
        <f t="shared" si="4"/>
        <v>Good</v>
      </c>
      <c r="K126" t="str">
        <f t="shared" si="5"/>
        <v>Pass</v>
      </c>
    </row>
    <row r="127" spans="1:11" x14ac:dyDescent="0.25">
      <c r="A127" t="s">
        <v>8</v>
      </c>
      <c r="B127" t="s">
        <v>23</v>
      </c>
      <c r="C127" t="s">
        <v>24</v>
      </c>
      <c r="D127" t="s">
        <v>11</v>
      </c>
      <c r="E127" t="s">
        <v>17</v>
      </c>
      <c r="F127" s="1">
        <v>62</v>
      </c>
      <c r="G127" s="1">
        <v>54</v>
      </c>
      <c r="H127" s="1">
        <v>58</v>
      </c>
      <c r="I127" s="1">
        <f t="shared" si="3"/>
        <v>58</v>
      </c>
      <c r="J127" t="str">
        <f t="shared" si="4"/>
        <v>Average</v>
      </c>
      <c r="K127" t="str">
        <f t="shared" si="5"/>
        <v>Pass</v>
      </c>
    </row>
    <row r="128" spans="1:11" x14ac:dyDescent="0.25">
      <c r="A128" t="s">
        <v>8</v>
      </c>
      <c r="B128" t="s">
        <v>14</v>
      </c>
      <c r="C128" t="s">
        <v>21</v>
      </c>
      <c r="D128" t="s">
        <v>11</v>
      </c>
      <c r="E128" t="s">
        <v>17</v>
      </c>
      <c r="F128" s="1">
        <v>77</v>
      </c>
      <c r="G128" s="1">
        <v>71</v>
      </c>
      <c r="H128" s="1">
        <v>64</v>
      </c>
      <c r="I128" s="1">
        <f t="shared" si="3"/>
        <v>70.666666666666671</v>
      </c>
      <c r="J128" t="str">
        <f t="shared" si="4"/>
        <v>Good</v>
      </c>
      <c r="K128" t="str">
        <f t="shared" si="5"/>
        <v>Pass</v>
      </c>
    </row>
    <row r="129" spans="1:11" x14ac:dyDescent="0.25">
      <c r="A129" t="s">
        <v>8</v>
      </c>
      <c r="B129" t="s">
        <v>23</v>
      </c>
      <c r="C129" t="s">
        <v>15</v>
      </c>
      <c r="D129" t="s">
        <v>11</v>
      </c>
      <c r="E129" t="s">
        <v>17</v>
      </c>
      <c r="F129" s="1">
        <v>45</v>
      </c>
      <c r="G129" s="1">
        <v>52</v>
      </c>
      <c r="H129" s="1">
        <v>45</v>
      </c>
      <c r="I129" s="1">
        <f t="shared" si="3"/>
        <v>47.333333333333336</v>
      </c>
      <c r="J129" t="str">
        <f t="shared" si="4"/>
        <v>Average</v>
      </c>
      <c r="K129" t="str">
        <f t="shared" si="5"/>
        <v>Pass</v>
      </c>
    </row>
    <row r="130" spans="1:11" x14ac:dyDescent="0.25">
      <c r="A130" t="s">
        <v>8</v>
      </c>
      <c r="B130" t="s">
        <v>18</v>
      </c>
      <c r="C130" t="s">
        <v>19</v>
      </c>
      <c r="D130" t="s">
        <v>11</v>
      </c>
      <c r="E130" t="s">
        <v>12</v>
      </c>
      <c r="F130" s="1">
        <v>100</v>
      </c>
      <c r="G130" s="1">
        <v>84</v>
      </c>
      <c r="H130" s="1">
        <v>87</v>
      </c>
      <c r="I130" s="1">
        <f t="shared" ref="I130:I193" si="6">AVERAGE(F130:H130)</f>
        <v>90.333333333333329</v>
      </c>
      <c r="J130" t="str">
        <f t="shared" ref="J130:J193" si="7">IF(I130&gt;=80,"Excellent", IF(I130&gt;=60,"Good", IF(I130&gt;=40,"Average","Poor")))</f>
        <v>Excellent</v>
      </c>
      <c r="K130" t="str">
        <f t="shared" ref="K130:K193" si="8">IF(I130&gt;=40, "Pass","Fail")</f>
        <v>Pass</v>
      </c>
    </row>
    <row r="131" spans="1:11" x14ac:dyDescent="0.25">
      <c r="A131" t="s">
        <v>13</v>
      </c>
      <c r="B131" t="s">
        <v>14</v>
      </c>
      <c r="C131" t="s">
        <v>21</v>
      </c>
      <c r="D131" t="s">
        <v>16</v>
      </c>
      <c r="E131" t="s">
        <v>12</v>
      </c>
      <c r="F131" s="1">
        <v>83</v>
      </c>
      <c r="G131" s="1">
        <v>95</v>
      </c>
      <c r="H131" s="1">
        <v>100</v>
      </c>
      <c r="I131" s="1">
        <f t="shared" si="6"/>
        <v>92.666666666666671</v>
      </c>
      <c r="J131" t="str">
        <f t="shared" si="7"/>
        <v>Excellent</v>
      </c>
      <c r="K131" t="str">
        <f t="shared" si="8"/>
        <v>Pass</v>
      </c>
    </row>
    <row r="132" spans="1:11" x14ac:dyDescent="0.25">
      <c r="A132" t="s">
        <v>13</v>
      </c>
      <c r="B132" t="s">
        <v>18</v>
      </c>
      <c r="C132" t="s">
        <v>21</v>
      </c>
      <c r="D132" t="s">
        <v>16</v>
      </c>
      <c r="E132" t="s">
        <v>12</v>
      </c>
      <c r="F132" s="1">
        <v>77</v>
      </c>
      <c r="G132" s="1">
        <v>75</v>
      </c>
      <c r="H132" s="1">
        <v>82</v>
      </c>
      <c r="I132" s="1">
        <f t="shared" si="6"/>
        <v>78</v>
      </c>
      <c r="J132" t="str">
        <f t="shared" si="7"/>
        <v>Good</v>
      </c>
      <c r="K132" t="str">
        <f t="shared" si="8"/>
        <v>Pass</v>
      </c>
    </row>
    <row r="133" spans="1:11" x14ac:dyDescent="0.25">
      <c r="A133" t="s">
        <v>8</v>
      </c>
      <c r="B133" t="s">
        <v>23</v>
      </c>
      <c r="C133" t="s">
        <v>10</v>
      </c>
      <c r="D133" t="s">
        <v>11</v>
      </c>
      <c r="E133" t="s">
        <v>12</v>
      </c>
      <c r="F133" s="1">
        <v>66</v>
      </c>
      <c r="G133" s="1">
        <v>70</v>
      </c>
      <c r="H133" s="1">
        <v>64</v>
      </c>
      <c r="I133" s="1">
        <f t="shared" si="6"/>
        <v>66.666666666666671</v>
      </c>
      <c r="J133" t="str">
        <f t="shared" si="7"/>
        <v>Good</v>
      </c>
      <c r="K133" t="str">
        <f t="shared" si="8"/>
        <v>Pass</v>
      </c>
    </row>
    <row r="134" spans="1:11" x14ac:dyDescent="0.25">
      <c r="A134" t="s">
        <v>8</v>
      </c>
      <c r="B134" t="s">
        <v>20</v>
      </c>
      <c r="C134" t="s">
        <v>19</v>
      </c>
      <c r="D134" t="s">
        <v>11</v>
      </c>
      <c r="E134" t="s">
        <v>17</v>
      </c>
      <c r="F134" s="1">
        <v>65</v>
      </c>
      <c r="G134" s="1">
        <v>63</v>
      </c>
      <c r="H134" s="1">
        <v>57</v>
      </c>
      <c r="I134" s="1">
        <f t="shared" si="6"/>
        <v>61.666666666666664</v>
      </c>
      <c r="J134" t="str">
        <f t="shared" si="7"/>
        <v>Good</v>
      </c>
      <c r="K134" t="str">
        <f t="shared" si="8"/>
        <v>Pass</v>
      </c>
    </row>
    <row r="135" spans="1:11" x14ac:dyDescent="0.25">
      <c r="A135" t="s">
        <v>8</v>
      </c>
      <c r="B135" t="s">
        <v>14</v>
      </c>
      <c r="C135" t="s">
        <v>21</v>
      </c>
      <c r="D135" t="s">
        <v>11</v>
      </c>
      <c r="E135" t="s">
        <v>17</v>
      </c>
      <c r="F135" s="1">
        <v>62</v>
      </c>
      <c r="G135" s="1">
        <v>55</v>
      </c>
      <c r="H135" s="1">
        <v>56</v>
      </c>
      <c r="I135" s="1">
        <f t="shared" si="6"/>
        <v>57.666666666666664</v>
      </c>
      <c r="J135" t="str">
        <f t="shared" si="7"/>
        <v>Average</v>
      </c>
      <c r="K135" t="str">
        <f t="shared" si="8"/>
        <v>Pass</v>
      </c>
    </row>
    <row r="136" spans="1:11" x14ac:dyDescent="0.25">
      <c r="A136" t="s">
        <v>8</v>
      </c>
      <c r="B136" t="s">
        <v>18</v>
      </c>
      <c r="C136" t="s">
        <v>19</v>
      </c>
      <c r="D136" t="s">
        <v>11</v>
      </c>
      <c r="E136" t="s">
        <v>17</v>
      </c>
      <c r="F136" s="1">
        <v>55</v>
      </c>
      <c r="G136" s="1">
        <v>54</v>
      </c>
      <c r="H136" s="1">
        <v>54</v>
      </c>
      <c r="I136" s="1">
        <f t="shared" si="6"/>
        <v>54.333333333333336</v>
      </c>
      <c r="J136" t="str">
        <f t="shared" si="7"/>
        <v>Average</v>
      </c>
      <c r="K136" t="str">
        <f t="shared" si="8"/>
        <v>Pass</v>
      </c>
    </row>
    <row r="137" spans="1:11" x14ac:dyDescent="0.25">
      <c r="A137" t="s">
        <v>8</v>
      </c>
      <c r="B137" t="s">
        <v>23</v>
      </c>
      <c r="C137" t="s">
        <v>15</v>
      </c>
      <c r="D137" t="s">
        <v>16</v>
      </c>
      <c r="E137" t="s">
        <v>17</v>
      </c>
      <c r="F137" s="1">
        <v>73</v>
      </c>
      <c r="G137" s="1">
        <v>78</v>
      </c>
      <c r="H137" s="1">
        <v>69</v>
      </c>
      <c r="I137" s="1">
        <f t="shared" si="6"/>
        <v>73.333333333333329</v>
      </c>
      <c r="J137" t="str">
        <f t="shared" si="7"/>
        <v>Good</v>
      </c>
      <c r="K137" t="str">
        <f t="shared" si="8"/>
        <v>Pass</v>
      </c>
    </row>
    <row r="138" spans="1:11" x14ac:dyDescent="0.25">
      <c r="A138" t="s">
        <v>8</v>
      </c>
      <c r="B138" t="s">
        <v>9</v>
      </c>
      <c r="C138" t="s">
        <v>19</v>
      </c>
      <c r="D138" t="s">
        <v>11</v>
      </c>
      <c r="E138" t="s">
        <v>12</v>
      </c>
      <c r="F138" s="1">
        <v>73</v>
      </c>
      <c r="G138" s="1">
        <v>81</v>
      </c>
      <c r="H138" s="1">
        <v>76</v>
      </c>
      <c r="I138" s="1">
        <f t="shared" si="6"/>
        <v>76.666666666666671</v>
      </c>
      <c r="J138" t="str">
        <f t="shared" si="7"/>
        <v>Good</v>
      </c>
      <c r="K138" t="str">
        <f t="shared" si="8"/>
        <v>Pass</v>
      </c>
    </row>
    <row r="139" spans="1:11" x14ac:dyDescent="0.25">
      <c r="A139" t="s">
        <v>13</v>
      </c>
      <c r="B139" t="s">
        <v>20</v>
      </c>
      <c r="C139" t="s">
        <v>21</v>
      </c>
      <c r="D139" t="s">
        <v>11</v>
      </c>
      <c r="E139" t="s">
        <v>12</v>
      </c>
      <c r="F139" s="1">
        <v>48</v>
      </c>
      <c r="G139" s="1">
        <v>66</v>
      </c>
      <c r="H139" s="1">
        <v>68</v>
      </c>
      <c r="I139" s="1">
        <f t="shared" si="6"/>
        <v>60.666666666666664</v>
      </c>
      <c r="J139" t="str">
        <f t="shared" si="7"/>
        <v>Good</v>
      </c>
      <c r="K139" t="str">
        <f t="shared" si="8"/>
        <v>Pass</v>
      </c>
    </row>
    <row r="140" spans="1:11" x14ac:dyDescent="0.25">
      <c r="A140" t="s">
        <v>8</v>
      </c>
      <c r="B140" t="s">
        <v>14</v>
      </c>
      <c r="C140" t="s">
        <v>19</v>
      </c>
      <c r="D140" t="s">
        <v>16</v>
      </c>
      <c r="E140" t="s">
        <v>17</v>
      </c>
      <c r="F140" s="1">
        <v>52</v>
      </c>
      <c r="G140" s="1">
        <v>44</v>
      </c>
      <c r="H140" s="1">
        <v>49</v>
      </c>
      <c r="I140" s="1">
        <f t="shared" si="6"/>
        <v>48.333333333333336</v>
      </c>
      <c r="J140" t="str">
        <f t="shared" si="7"/>
        <v>Average</v>
      </c>
      <c r="K140" t="str">
        <f t="shared" si="8"/>
        <v>Pass</v>
      </c>
    </row>
    <row r="141" spans="1:11" x14ac:dyDescent="0.25">
      <c r="A141" t="s">
        <v>13</v>
      </c>
      <c r="B141" t="s">
        <v>23</v>
      </c>
      <c r="C141" t="s">
        <v>15</v>
      </c>
      <c r="D141" t="s">
        <v>16</v>
      </c>
      <c r="E141" t="s">
        <v>17</v>
      </c>
      <c r="F141" s="1">
        <v>60</v>
      </c>
      <c r="G141" s="1">
        <v>72</v>
      </c>
      <c r="H141" s="1">
        <v>64</v>
      </c>
      <c r="I141" s="1">
        <f t="shared" si="6"/>
        <v>65.333333333333329</v>
      </c>
      <c r="J141" t="str">
        <f t="shared" si="7"/>
        <v>Good</v>
      </c>
      <c r="K141" t="str">
        <f t="shared" si="8"/>
        <v>Pass</v>
      </c>
    </row>
    <row r="142" spans="1:11" x14ac:dyDescent="0.25">
      <c r="A142" t="s">
        <v>8</v>
      </c>
      <c r="B142" t="s">
        <v>20</v>
      </c>
      <c r="C142" t="s">
        <v>21</v>
      </c>
      <c r="D142" t="s">
        <v>16</v>
      </c>
      <c r="E142" t="s">
        <v>17</v>
      </c>
      <c r="F142" s="1">
        <v>68</v>
      </c>
      <c r="G142" s="1">
        <v>63</v>
      </c>
      <c r="H142" s="1">
        <v>57</v>
      </c>
      <c r="I142" s="1">
        <f t="shared" si="6"/>
        <v>62.666666666666664</v>
      </c>
      <c r="J142" t="str">
        <f t="shared" si="7"/>
        <v>Good</v>
      </c>
      <c r="K142" t="str">
        <f t="shared" si="8"/>
        <v>Pass</v>
      </c>
    </row>
    <row r="143" spans="1:11" x14ac:dyDescent="0.25">
      <c r="A143" t="s">
        <v>13</v>
      </c>
      <c r="B143" t="s">
        <v>14</v>
      </c>
      <c r="C143" t="s">
        <v>19</v>
      </c>
      <c r="D143" t="s">
        <v>16</v>
      </c>
      <c r="E143" t="s">
        <v>17</v>
      </c>
      <c r="F143" s="1">
        <v>65</v>
      </c>
      <c r="G143" s="1">
        <v>77</v>
      </c>
      <c r="H143" s="1">
        <v>83</v>
      </c>
      <c r="I143" s="1">
        <f t="shared" si="6"/>
        <v>75</v>
      </c>
      <c r="J143" t="str">
        <f t="shared" si="7"/>
        <v>Good</v>
      </c>
      <c r="K143" t="str">
        <f t="shared" si="8"/>
        <v>Pass</v>
      </c>
    </row>
    <row r="144" spans="1:11" x14ac:dyDescent="0.25">
      <c r="A144" t="s">
        <v>13</v>
      </c>
      <c r="B144" t="s">
        <v>14</v>
      </c>
      <c r="C144" t="s">
        <v>22</v>
      </c>
      <c r="D144" t="s">
        <v>11</v>
      </c>
      <c r="E144" t="s">
        <v>17</v>
      </c>
      <c r="F144" s="1">
        <v>86</v>
      </c>
      <c r="G144" s="1">
        <v>83</v>
      </c>
      <c r="H144" s="1">
        <v>87</v>
      </c>
      <c r="I144" s="1">
        <f t="shared" si="6"/>
        <v>85.333333333333329</v>
      </c>
      <c r="J144" t="str">
        <f t="shared" si="7"/>
        <v>Excellent</v>
      </c>
      <c r="K144" t="str">
        <f t="shared" si="8"/>
        <v>Pass</v>
      </c>
    </row>
    <row r="145" spans="1:11" x14ac:dyDescent="0.25">
      <c r="A145" t="s">
        <v>13</v>
      </c>
      <c r="B145" t="s">
        <v>20</v>
      </c>
      <c r="C145" t="s">
        <v>21</v>
      </c>
      <c r="D145" t="s">
        <v>11</v>
      </c>
      <c r="E145" t="s">
        <v>17</v>
      </c>
      <c r="F145" s="1">
        <v>55</v>
      </c>
      <c r="G145" s="1">
        <v>62</v>
      </c>
      <c r="H145" s="1">
        <v>60</v>
      </c>
      <c r="I145" s="1">
        <f t="shared" si="6"/>
        <v>59</v>
      </c>
      <c r="J145" t="str">
        <f t="shared" si="7"/>
        <v>Average</v>
      </c>
      <c r="K145" t="str">
        <f t="shared" si="8"/>
        <v>Pass</v>
      </c>
    </row>
    <row r="146" spans="1:11" x14ac:dyDescent="0.25">
      <c r="A146" t="s">
        <v>8</v>
      </c>
      <c r="B146" t="s">
        <v>20</v>
      </c>
      <c r="C146" t="s">
        <v>24</v>
      </c>
      <c r="D146" t="s">
        <v>11</v>
      </c>
      <c r="E146" t="s">
        <v>12</v>
      </c>
      <c r="F146" s="1">
        <v>80</v>
      </c>
      <c r="G146" s="1">
        <v>71</v>
      </c>
      <c r="H146" s="1">
        <v>68</v>
      </c>
      <c r="I146" s="1">
        <f t="shared" si="6"/>
        <v>73</v>
      </c>
      <c r="J146" t="str">
        <f t="shared" si="7"/>
        <v>Good</v>
      </c>
      <c r="K146" t="str">
        <f t="shared" si="8"/>
        <v>Pass</v>
      </c>
    </row>
    <row r="147" spans="1:11" x14ac:dyDescent="0.25">
      <c r="A147" t="s">
        <v>13</v>
      </c>
      <c r="B147" t="s">
        <v>20</v>
      </c>
      <c r="C147" t="s">
        <v>10</v>
      </c>
      <c r="D147" t="s">
        <v>16</v>
      </c>
      <c r="E147" t="s">
        <v>17</v>
      </c>
      <c r="F147" s="1">
        <v>51</v>
      </c>
      <c r="G147" s="1">
        <v>57</v>
      </c>
      <c r="H147" s="1">
        <v>57</v>
      </c>
      <c r="I147" s="1">
        <f t="shared" si="6"/>
        <v>55</v>
      </c>
      <c r="J147" t="str">
        <f t="shared" si="7"/>
        <v>Average</v>
      </c>
      <c r="K147" t="str">
        <f t="shared" si="8"/>
        <v>Pass</v>
      </c>
    </row>
    <row r="148" spans="1:11" x14ac:dyDescent="0.25">
      <c r="A148" t="s">
        <v>13</v>
      </c>
      <c r="B148" t="s">
        <v>20</v>
      </c>
      <c r="C148" t="s">
        <v>15</v>
      </c>
      <c r="D148" t="s">
        <v>11</v>
      </c>
      <c r="E148" t="s">
        <v>12</v>
      </c>
      <c r="F148" s="1">
        <v>63</v>
      </c>
      <c r="G148" s="1">
        <v>61</v>
      </c>
      <c r="H148" s="1">
        <v>66</v>
      </c>
      <c r="I148" s="1">
        <f t="shared" si="6"/>
        <v>63.333333333333336</v>
      </c>
      <c r="J148" t="str">
        <f t="shared" si="7"/>
        <v>Good</v>
      </c>
      <c r="K148" t="str">
        <f t="shared" si="8"/>
        <v>Pass</v>
      </c>
    </row>
    <row r="149" spans="1:11" x14ac:dyDescent="0.25">
      <c r="A149" t="s">
        <v>8</v>
      </c>
      <c r="B149" t="s">
        <v>18</v>
      </c>
      <c r="C149" t="s">
        <v>19</v>
      </c>
      <c r="D149" t="s">
        <v>11</v>
      </c>
      <c r="E149" t="s">
        <v>17</v>
      </c>
      <c r="F149" s="1">
        <v>60</v>
      </c>
      <c r="G149" s="1">
        <v>55</v>
      </c>
      <c r="H149" s="1">
        <v>46</v>
      </c>
      <c r="I149" s="1">
        <f t="shared" si="6"/>
        <v>53.666666666666664</v>
      </c>
      <c r="J149" t="str">
        <f t="shared" si="7"/>
        <v>Average</v>
      </c>
      <c r="K149" t="str">
        <f t="shared" si="8"/>
        <v>Pass</v>
      </c>
    </row>
    <row r="150" spans="1:11" x14ac:dyDescent="0.25">
      <c r="A150" t="s">
        <v>13</v>
      </c>
      <c r="B150" t="s">
        <v>18</v>
      </c>
      <c r="C150" t="s">
        <v>22</v>
      </c>
      <c r="D150" t="s">
        <v>11</v>
      </c>
      <c r="E150" t="s">
        <v>12</v>
      </c>
      <c r="F150" s="1">
        <v>100</v>
      </c>
      <c r="G150" s="1">
        <v>100</v>
      </c>
      <c r="H150" s="1">
        <v>100</v>
      </c>
      <c r="I150" s="1">
        <f t="shared" si="6"/>
        <v>100</v>
      </c>
      <c r="J150" t="str">
        <f t="shared" si="7"/>
        <v>Excellent</v>
      </c>
      <c r="K150" t="str">
        <f t="shared" si="8"/>
        <v>Pass</v>
      </c>
    </row>
    <row r="151" spans="1:11" x14ac:dyDescent="0.25">
      <c r="A151" t="s">
        <v>8</v>
      </c>
      <c r="B151" t="s">
        <v>9</v>
      </c>
      <c r="C151" t="s">
        <v>21</v>
      </c>
      <c r="D151" t="s">
        <v>16</v>
      </c>
      <c r="E151" t="s">
        <v>17</v>
      </c>
      <c r="F151" s="1">
        <v>46</v>
      </c>
      <c r="G151" s="1">
        <v>44</v>
      </c>
      <c r="H151" s="1">
        <v>44</v>
      </c>
      <c r="I151" s="1">
        <f t="shared" si="6"/>
        <v>44.666666666666664</v>
      </c>
      <c r="J151" t="str">
        <f t="shared" si="7"/>
        <v>Average</v>
      </c>
      <c r="K151" t="str">
        <f t="shared" si="8"/>
        <v>Pass</v>
      </c>
    </row>
    <row r="152" spans="1:11" x14ac:dyDescent="0.25">
      <c r="A152" t="s">
        <v>13</v>
      </c>
      <c r="B152" t="s">
        <v>23</v>
      </c>
      <c r="C152" t="s">
        <v>19</v>
      </c>
      <c r="D152" t="s">
        <v>11</v>
      </c>
      <c r="E152" t="s">
        <v>12</v>
      </c>
      <c r="F152" s="1">
        <v>67</v>
      </c>
      <c r="G152" s="1">
        <v>78</v>
      </c>
      <c r="H152" s="1">
        <v>80</v>
      </c>
      <c r="I152" s="1">
        <f t="shared" si="6"/>
        <v>75</v>
      </c>
      <c r="J152" t="str">
        <f t="shared" si="7"/>
        <v>Good</v>
      </c>
      <c r="K152" t="str">
        <f t="shared" si="8"/>
        <v>Pass</v>
      </c>
    </row>
    <row r="153" spans="1:11" x14ac:dyDescent="0.25">
      <c r="A153" t="s">
        <v>13</v>
      </c>
      <c r="B153" t="s">
        <v>23</v>
      </c>
      <c r="C153" t="s">
        <v>10</v>
      </c>
      <c r="D153" t="s">
        <v>16</v>
      </c>
      <c r="E153" t="s">
        <v>17</v>
      </c>
      <c r="F153" s="1">
        <v>54</v>
      </c>
      <c r="G153" s="1">
        <v>67</v>
      </c>
      <c r="H153" s="1">
        <v>59</v>
      </c>
      <c r="I153" s="1">
        <f t="shared" si="6"/>
        <v>60</v>
      </c>
      <c r="J153" t="str">
        <f t="shared" si="7"/>
        <v>Good</v>
      </c>
      <c r="K153" t="str">
        <f t="shared" si="8"/>
        <v>Pass</v>
      </c>
    </row>
    <row r="154" spans="1:11" x14ac:dyDescent="0.25">
      <c r="A154" t="s">
        <v>13</v>
      </c>
      <c r="B154" t="s">
        <v>20</v>
      </c>
      <c r="C154" t="s">
        <v>21</v>
      </c>
      <c r="D154" t="s">
        <v>11</v>
      </c>
      <c r="E154" t="s">
        <v>17</v>
      </c>
      <c r="F154" s="1">
        <v>63</v>
      </c>
      <c r="G154" s="1">
        <v>79</v>
      </c>
      <c r="H154" s="1">
        <v>76</v>
      </c>
      <c r="I154" s="1">
        <f t="shared" si="6"/>
        <v>72.666666666666671</v>
      </c>
      <c r="J154" t="str">
        <f t="shared" si="7"/>
        <v>Good</v>
      </c>
      <c r="K154" t="str">
        <f t="shared" si="8"/>
        <v>Pass</v>
      </c>
    </row>
    <row r="155" spans="1:11" x14ac:dyDescent="0.25">
      <c r="A155" t="s">
        <v>8</v>
      </c>
      <c r="B155" t="s">
        <v>14</v>
      </c>
      <c r="C155" t="s">
        <v>22</v>
      </c>
      <c r="D155" t="s">
        <v>11</v>
      </c>
      <c r="E155" t="s">
        <v>17</v>
      </c>
      <c r="F155" s="1">
        <v>68</v>
      </c>
      <c r="G155" s="1">
        <v>66</v>
      </c>
      <c r="H155" s="1">
        <v>73</v>
      </c>
      <c r="I155" s="1">
        <f t="shared" si="6"/>
        <v>69</v>
      </c>
      <c r="J155" t="str">
        <f t="shared" si="7"/>
        <v>Good</v>
      </c>
      <c r="K155" t="str">
        <f t="shared" si="8"/>
        <v>Pass</v>
      </c>
    </row>
    <row r="156" spans="1:11" x14ac:dyDescent="0.25">
      <c r="A156" t="s">
        <v>13</v>
      </c>
      <c r="B156" t="s">
        <v>23</v>
      </c>
      <c r="C156" t="s">
        <v>21</v>
      </c>
      <c r="D156" t="s">
        <v>16</v>
      </c>
      <c r="E156" t="s">
        <v>17</v>
      </c>
      <c r="F156" s="1">
        <v>54</v>
      </c>
      <c r="G156" s="1">
        <v>63</v>
      </c>
      <c r="H156" s="1">
        <v>58</v>
      </c>
      <c r="I156" s="1">
        <f t="shared" si="6"/>
        <v>58.333333333333336</v>
      </c>
      <c r="J156" t="str">
        <f t="shared" si="7"/>
        <v>Average</v>
      </c>
      <c r="K156" t="str">
        <f t="shared" si="8"/>
        <v>Pass</v>
      </c>
    </row>
    <row r="157" spans="1:11" x14ac:dyDescent="0.25">
      <c r="A157" t="s">
        <v>13</v>
      </c>
      <c r="B157" t="s">
        <v>23</v>
      </c>
      <c r="C157" t="s">
        <v>19</v>
      </c>
      <c r="D157" t="s">
        <v>11</v>
      </c>
      <c r="E157" t="s">
        <v>17</v>
      </c>
      <c r="F157" s="1">
        <v>43</v>
      </c>
      <c r="G157" s="1">
        <v>44</v>
      </c>
      <c r="H157" s="1">
        <v>47</v>
      </c>
      <c r="I157" s="1">
        <f t="shared" si="6"/>
        <v>44.666666666666664</v>
      </c>
      <c r="J157" t="str">
        <f t="shared" si="7"/>
        <v>Average</v>
      </c>
      <c r="K157" t="str">
        <f t="shared" si="8"/>
        <v>Pass</v>
      </c>
    </row>
    <row r="158" spans="1:11" x14ac:dyDescent="0.25">
      <c r="A158" t="s">
        <v>8</v>
      </c>
      <c r="B158" t="s">
        <v>20</v>
      </c>
      <c r="C158" t="s">
        <v>10</v>
      </c>
      <c r="D158" t="s">
        <v>16</v>
      </c>
      <c r="E158" t="s">
        <v>17</v>
      </c>
      <c r="F158" s="1">
        <v>64</v>
      </c>
      <c r="G158" s="1">
        <v>64</v>
      </c>
      <c r="H158" s="1">
        <v>59</v>
      </c>
      <c r="I158" s="1">
        <f t="shared" si="6"/>
        <v>62.333333333333336</v>
      </c>
      <c r="J158" t="str">
        <f t="shared" si="7"/>
        <v>Good</v>
      </c>
      <c r="K158" t="str">
        <f t="shared" si="8"/>
        <v>Pass</v>
      </c>
    </row>
    <row r="159" spans="1:11" x14ac:dyDescent="0.25">
      <c r="A159" t="s">
        <v>13</v>
      </c>
      <c r="B159" t="s">
        <v>18</v>
      </c>
      <c r="C159" t="s">
        <v>21</v>
      </c>
      <c r="D159" t="s">
        <v>16</v>
      </c>
      <c r="E159" t="s">
        <v>17</v>
      </c>
      <c r="F159" s="1">
        <v>92</v>
      </c>
      <c r="G159" s="1">
        <v>87</v>
      </c>
      <c r="H159" s="1">
        <v>87</v>
      </c>
      <c r="I159" s="1">
        <f t="shared" si="6"/>
        <v>88.666666666666671</v>
      </c>
      <c r="J159" t="str">
        <f t="shared" si="7"/>
        <v>Excellent</v>
      </c>
      <c r="K159" t="str">
        <f t="shared" si="8"/>
        <v>Pass</v>
      </c>
    </row>
    <row r="160" spans="1:11" x14ac:dyDescent="0.25">
      <c r="A160" t="s">
        <v>13</v>
      </c>
      <c r="B160" t="s">
        <v>14</v>
      </c>
      <c r="C160" t="s">
        <v>21</v>
      </c>
      <c r="D160" t="s">
        <v>16</v>
      </c>
      <c r="E160" t="s">
        <v>17</v>
      </c>
      <c r="F160" s="1">
        <v>82</v>
      </c>
      <c r="G160" s="1">
        <v>95</v>
      </c>
      <c r="H160" s="1">
        <v>93</v>
      </c>
      <c r="I160" s="1">
        <f t="shared" si="6"/>
        <v>90</v>
      </c>
      <c r="J160" t="str">
        <f t="shared" si="7"/>
        <v>Excellent</v>
      </c>
      <c r="K160" t="str">
        <f t="shared" si="8"/>
        <v>Pass</v>
      </c>
    </row>
    <row r="161" spans="1:11" x14ac:dyDescent="0.25">
      <c r="A161" t="s">
        <v>8</v>
      </c>
      <c r="B161" t="s">
        <v>18</v>
      </c>
      <c r="C161" t="s">
        <v>15</v>
      </c>
      <c r="D161" t="s">
        <v>16</v>
      </c>
      <c r="E161" t="s">
        <v>17</v>
      </c>
      <c r="F161" s="1">
        <v>84</v>
      </c>
      <c r="G161" s="1">
        <v>78</v>
      </c>
      <c r="H161" s="1">
        <v>79</v>
      </c>
      <c r="I161" s="1">
        <f t="shared" si="6"/>
        <v>80.333333333333329</v>
      </c>
      <c r="J161" t="str">
        <f t="shared" si="7"/>
        <v>Excellent</v>
      </c>
      <c r="K161" t="str">
        <f t="shared" si="8"/>
        <v>Pass</v>
      </c>
    </row>
    <row r="162" spans="1:11" x14ac:dyDescent="0.25">
      <c r="A162" t="s">
        <v>13</v>
      </c>
      <c r="B162" t="s">
        <v>14</v>
      </c>
      <c r="C162" t="s">
        <v>21</v>
      </c>
      <c r="D162" t="s">
        <v>11</v>
      </c>
      <c r="E162" t="s">
        <v>12</v>
      </c>
      <c r="F162" s="1">
        <v>84</v>
      </c>
      <c r="G162" s="1">
        <v>98</v>
      </c>
      <c r="H162" s="1">
        <v>97</v>
      </c>
      <c r="I162" s="1">
        <f t="shared" si="6"/>
        <v>93</v>
      </c>
      <c r="J162" t="str">
        <f t="shared" si="7"/>
        <v>Excellent</v>
      </c>
      <c r="K162" t="str">
        <f t="shared" si="8"/>
        <v>Pass</v>
      </c>
    </row>
    <row r="163" spans="1:11" x14ac:dyDescent="0.25">
      <c r="A163" t="s">
        <v>8</v>
      </c>
      <c r="B163" t="s">
        <v>14</v>
      </c>
      <c r="C163" t="s">
        <v>21</v>
      </c>
      <c r="D163" t="s">
        <v>16</v>
      </c>
      <c r="E163" t="s">
        <v>17</v>
      </c>
      <c r="F163" s="1">
        <v>65</v>
      </c>
      <c r="G163" s="1">
        <v>63</v>
      </c>
      <c r="H163" s="1">
        <v>65</v>
      </c>
      <c r="I163" s="1">
        <f t="shared" si="6"/>
        <v>64.333333333333329</v>
      </c>
      <c r="J163" t="str">
        <f t="shared" si="7"/>
        <v>Good</v>
      </c>
      <c r="K163" t="str">
        <f t="shared" si="8"/>
        <v>Pass</v>
      </c>
    </row>
    <row r="164" spans="1:11" x14ac:dyDescent="0.25">
      <c r="A164" t="s">
        <v>13</v>
      </c>
      <c r="B164" t="s">
        <v>23</v>
      </c>
      <c r="C164" t="s">
        <v>22</v>
      </c>
      <c r="D164" t="s">
        <v>11</v>
      </c>
      <c r="E164" t="s">
        <v>17</v>
      </c>
      <c r="F164" s="1">
        <v>83</v>
      </c>
      <c r="G164" s="1">
        <v>92</v>
      </c>
      <c r="H164" s="1">
        <v>91</v>
      </c>
      <c r="I164" s="1">
        <f t="shared" si="6"/>
        <v>88.666666666666671</v>
      </c>
      <c r="J164" t="str">
        <f t="shared" si="7"/>
        <v>Excellent</v>
      </c>
      <c r="K164" t="str">
        <f t="shared" si="8"/>
        <v>Pass</v>
      </c>
    </row>
    <row r="165" spans="1:11" x14ac:dyDescent="0.25">
      <c r="A165" t="s">
        <v>13</v>
      </c>
      <c r="B165" t="s">
        <v>20</v>
      </c>
      <c r="C165" t="s">
        <v>15</v>
      </c>
      <c r="D165" t="s">
        <v>11</v>
      </c>
      <c r="E165" t="s">
        <v>12</v>
      </c>
      <c r="F165" s="1">
        <v>70</v>
      </c>
      <c r="G165" s="1">
        <v>75</v>
      </c>
      <c r="H165" s="1">
        <v>75</v>
      </c>
      <c r="I165" s="1">
        <f t="shared" si="6"/>
        <v>73.333333333333329</v>
      </c>
      <c r="J165" t="str">
        <f t="shared" si="7"/>
        <v>Good</v>
      </c>
      <c r="K165" t="str">
        <f t="shared" si="8"/>
        <v>Pass</v>
      </c>
    </row>
    <row r="166" spans="1:11" x14ac:dyDescent="0.25">
      <c r="A166" t="s">
        <v>8</v>
      </c>
      <c r="B166" t="s">
        <v>9</v>
      </c>
      <c r="C166" t="s">
        <v>22</v>
      </c>
      <c r="D166" t="s">
        <v>11</v>
      </c>
      <c r="E166" t="s">
        <v>12</v>
      </c>
      <c r="F166" s="1">
        <v>66</v>
      </c>
      <c r="G166" s="1">
        <v>72</v>
      </c>
      <c r="H166" s="1">
        <v>70</v>
      </c>
      <c r="I166" s="1">
        <f t="shared" si="6"/>
        <v>69.333333333333329</v>
      </c>
      <c r="J166" t="str">
        <f t="shared" si="7"/>
        <v>Good</v>
      </c>
      <c r="K166" t="str">
        <f t="shared" si="8"/>
        <v>Pass</v>
      </c>
    </row>
    <row r="167" spans="1:11" x14ac:dyDescent="0.25">
      <c r="A167" t="s">
        <v>13</v>
      </c>
      <c r="B167" t="s">
        <v>14</v>
      </c>
      <c r="C167" t="s">
        <v>22</v>
      </c>
      <c r="D167" t="s">
        <v>11</v>
      </c>
      <c r="E167" t="s">
        <v>12</v>
      </c>
      <c r="F167" s="1">
        <v>71</v>
      </c>
      <c r="G167" s="1">
        <v>87</v>
      </c>
      <c r="H167" s="1">
        <v>92</v>
      </c>
      <c r="I167" s="1">
        <f t="shared" si="6"/>
        <v>83.333333333333329</v>
      </c>
      <c r="J167" t="str">
        <f t="shared" si="7"/>
        <v>Excellent</v>
      </c>
      <c r="K167" t="str">
        <f t="shared" si="8"/>
        <v>Pass</v>
      </c>
    </row>
    <row r="168" spans="1:11" x14ac:dyDescent="0.25">
      <c r="A168" t="s">
        <v>8</v>
      </c>
      <c r="B168" t="s">
        <v>20</v>
      </c>
      <c r="C168" t="s">
        <v>22</v>
      </c>
      <c r="D168" t="s">
        <v>11</v>
      </c>
      <c r="E168" t="s">
        <v>17</v>
      </c>
      <c r="F168" s="1">
        <v>66</v>
      </c>
      <c r="G168" s="1">
        <v>64</v>
      </c>
      <c r="H168" s="1">
        <v>58</v>
      </c>
      <c r="I168" s="1">
        <f t="shared" si="6"/>
        <v>62.666666666666664</v>
      </c>
      <c r="J168" t="str">
        <f t="shared" si="7"/>
        <v>Good</v>
      </c>
      <c r="K168" t="str">
        <f t="shared" si="8"/>
        <v>Pass</v>
      </c>
    </row>
    <row r="169" spans="1:11" x14ac:dyDescent="0.25">
      <c r="A169" t="s">
        <v>13</v>
      </c>
      <c r="B169" t="s">
        <v>20</v>
      </c>
      <c r="C169" t="s">
        <v>15</v>
      </c>
      <c r="D169" t="s">
        <v>11</v>
      </c>
      <c r="E169" t="s">
        <v>12</v>
      </c>
      <c r="F169" s="1">
        <v>57</v>
      </c>
      <c r="G169" s="1">
        <v>64</v>
      </c>
      <c r="H169" s="1">
        <v>68</v>
      </c>
      <c r="I169" s="1">
        <f t="shared" si="6"/>
        <v>63</v>
      </c>
      <c r="J169" t="str">
        <f t="shared" si="7"/>
        <v>Good</v>
      </c>
      <c r="K169" t="str">
        <f t="shared" si="8"/>
        <v>Pass</v>
      </c>
    </row>
    <row r="170" spans="1:11" x14ac:dyDescent="0.25">
      <c r="A170" t="s">
        <v>13</v>
      </c>
      <c r="B170" t="s">
        <v>23</v>
      </c>
      <c r="C170" t="s">
        <v>24</v>
      </c>
      <c r="D170" t="s">
        <v>11</v>
      </c>
      <c r="E170" t="s">
        <v>17</v>
      </c>
      <c r="F170" s="1">
        <v>86</v>
      </c>
      <c r="G170" s="1">
        <v>90</v>
      </c>
      <c r="H170" s="1">
        <v>93</v>
      </c>
      <c r="I170" s="1">
        <f t="shared" si="6"/>
        <v>89.666666666666671</v>
      </c>
      <c r="J170" t="str">
        <f t="shared" si="7"/>
        <v>Excellent</v>
      </c>
      <c r="K170" t="str">
        <f t="shared" si="8"/>
        <v>Pass</v>
      </c>
    </row>
    <row r="171" spans="1:11" x14ac:dyDescent="0.25">
      <c r="A171" t="s">
        <v>13</v>
      </c>
      <c r="B171" t="s">
        <v>9</v>
      </c>
      <c r="C171" t="s">
        <v>10</v>
      </c>
      <c r="D171" t="s">
        <v>11</v>
      </c>
      <c r="E171" t="s">
        <v>17</v>
      </c>
      <c r="F171" s="1">
        <v>80</v>
      </c>
      <c r="G171" s="1">
        <v>85</v>
      </c>
      <c r="H171" s="1">
        <v>83</v>
      </c>
      <c r="I171" s="1">
        <f t="shared" si="6"/>
        <v>82.666666666666671</v>
      </c>
      <c r="J171" t="str">
        <f t="shared" si="7"/>
        <v>Excellent</v>
      </c>
      <c r="K171" t="str">
        <f t="shared" si="8"/>
        <v>Pass</v>
      </c>
    </row>
    <row r="172" spans="1:11" x14ac:dyDescent="0.25">
      <c r="A172" t="s">
        <v>13</v>
      </c>
      <c r="B172" t="s">
        <v>20</v>
      </c>
      <c r="C172" t="s">
        <v>10</v>
      </c>
      <c r="D172" t="s">
        <v>11</v>
      </c>
      <c r="E172" t="s">
        <v>17</v>
      </c>
      <c r="F172" s="1">
        <v>62</v>
      </c>
      <c r="G172" s="1">
        <v>60</v>
      </c>
      <c r="H172" s="1">
        <v>59</v>
      </c>
      <c r="I172" s="1">
        <f t="shared" si="6"/>
        <v>60.333333333333336</v>
      </c>
      <c r="J172" t="str">
        <f t="shared" si="7"/>
        <v>Good</v>
      </c>
      <c r="K172" t="str">
        <f t="shared" si="8"/>
        <v>Pass</v>
      </c>
    </row>
    <row r="173" spans="1:11" x14ac:dyDescent="0.25">
      <c r="A173" t="s">
        <v>13</v>
      </c>
      <c r="B173" t="s">
        <v>14</v>
      </c>
      <c r="C173" t="s">
        <v>19</v>
      </c>
      <c r="D173" t="s">
        <v>11</v>
      </c>
      <c r="E173" t="s">
        <v>17</v>
      </c>
      <c r="F173" s="1">
        <v>71</v>
      </c>
      <c r="G173" s="1">
        <v>71</v>
      </c>
      <c r="H173" s="1">
        <v>76</v>
      </c>
      <c r="I173" s="1">
        <f t="shared" si="6"/>
        <v>72.666666666666671</v>
      </c>
      <c r="J173" t="str">
        <f t="shared" si="7"/>
        <v>Good</v>
      </c>
      <c r="K173" t="str">
        <f t="shared" si="8"/>
        <v>Pass</v>
      </c>
    </row>
    <row r="174" spans="1:11" x14ac:dyDescent="0.25">
      <c r="A174" t="s">
        <v>13</v>
      </c>
      <c r="B174" t="s">
        <v>23</v>
      </c>
      <c r="C174" t="s">
        <v>19</v>
      </c>
      <c r="D174" t="s">
        <v>16</v>
      </c>
      <c r="E174" t="s">
        <v>12</v>
      </c>
      <c r="F174" s="1">
        <v>57</v>
      </c>
      <c r="G174" s="1">
        <v>66</v>
      </c>
      <c r="H174" s="1">
        <v>71</v>
      </c>
      <c r="I174" s="1">
        <f t="shared" si="6"/>
        <v>64.666666666666671</v>
      </c>
      <c r="J174" t="str">
        <f t="shared" si="7"/>
        <v>Good</v>
      </c>
      <c r="K174" t="str">
        <f t="shared" si="8"/>
        <v>Pass</v>
      </c>
    </row>
    <row r="175" spans="1:11" x14ac:dyDescent="0.25">
      <c r="A175" t="s">
        <v>8</v>
      </c>
      <c r="B175" t="s">
        <v>9</v>
      </c>
      <c r="C175" t="s">
        <v>15</v>
      </c>
      <c r="D175" t="s">
        <v>16</v>
      </c>
      <c r="E175" t="s">
        <v>12</v>
      </c>
      <c r="F175" s="1">
        <v>69</v>
      </c>
      <c r="G175" s="1">
        <v>64</v>
      </c>
      <c r="H175" s="1">
        <v>62</v>
      </c>
      <c r="I175" s="1">
        <f t="shared" si="6"/>
        <v>65</v>
      </c>
      <c r="J175" t="str">
        <f t="shared" si="7"/>
        <v>Good</v>
      </c>
      <c r="K175" t="str">
        <f t="shared" si="8"/>
        <v>Pass</v>
      </c>
    </row>
    <row r="176" spans="1:11" x14ac:dyDescent="0.25">
      <c r="A176" t="s">
        <v>8</v>
      </c>
      <c r="B176" t="s">
        <v>20</v>
      </c>
      <c r="C176" t="s">
        <v>19</v>
      </c>
      <c r="D176" t="s">
        <v>11</v>
      </c>
      <c r="E176" t="s">
        <v>12</v>
      </c>
      <c r="F176" s="1">
        <v>83</v>
      </c>
      <c r="G176" s="1">
        <v>74</v>
      </c>
      <c r="H176" s="1">
        <v>72</v>
      </c>
      <c r="I176" s="1">
        <f t="shared" si="6"/>
        <v>76.333333333333329</v>
      </c>
      <c r="J176" t="str">
        <f t="shared" si="7"/>
        <v>Good</v>
      </c>
      <c r="K176" t="str">
        <f t="shared" si="8"/>
        <v>Pass</v>
      </c>
    </row>
    <row r="177" spans="1:11" x14ac:dyDescent="0.25">
      <c r="A177" t="s">
        <v>13</v>
      </c>
      <c r="B177" t="s">
        <v>14</v>
      </c>
      <c r="C177" t="s">
        <v>19</v>
      </c>
      <c r="D177" t="s">
        <v>16</v>
      </c>
      <c r="E177" t="s">
        <v>17</v>
      </c>
      <c r="F177" s="1">
        <v>50</v>
      </c>
      <c r="G177" s="1">
        <v>56</v>
      </c>
      <c r="H177" s="1">
        <v>60</v>
      </c>
      <c r="I177" s="1">
        <f t="shared" si="6"/>
        <v>55.333333333333336</v>
      </c>
      <c r="J177" t="str">
        <f t="shared" si="7"/>
        <v>Average</v>
      </c>
      <c r="K177" t="str">
        <f t="shared" si="8"/>
        <v>Pass</v>
      </c>
    </row>
    <row r="178" spans="1:11" x14ac:dyDescent="0.25">
      <c r="A178" t="s">
        <v>13</v>
      </c>
      <c r="B178" t="s">
        <v>23</v>
      </c>
      <c r="C178" t="s">
        <v>22</v>
      </c>
      <c r="D178" t="s">
        <v>11</v>
      </c>
      <c r="E178" t="s">
        <v>17</v>
      </c>
      <c r="F178" s="1">
        <v>55</v>
      </c>
      <c r="G178" s="1">
        <v>56</v>
      </c>
      <c r="H178" s="1">
        <v>56</v>
      </c>
      <c r="I178" s="1">
        <f t="shared" si="6"/>
        <v>55.666666666666664</v>
      </c>
      <c r="J178" t="str">
        <f t="shared" si="7"/>
        <v>Average</v>
      </c>
      <c r="K178" t="str">
        <f t="shared" si="8"/>
        <v>Pass</v>
      </c>
    </row>
    <row r="179" spans="1:11" x14ac:dyDescent="0.25">
      <c r="A179" t="s">
        <v>8</v>
      </c>
      <c r="B179" t="s">
        <v>20</v>
      </c>
      <c r="C179" t="s">
        <v>15</v>
      </c>
      <c r="D179" t="s">
        <v>16</v>
      </c>
      <c r="E179" t="s">
        <v>17</v>
      </c>
      <c r="F179" s="1">
        <v>55</v>
      </c>
      <c r="G179" s="1">
        <v>53</v>
      </c>
      <c r="H179" s="1">
        <v>51</v>
      </c>
      <c r="I179" s="1">
        <f t="shared" si="6"/>
        <v>53</v>
      </c>
      <c r="J179" t="str">
        <f t="shared" si="7"/>
        <v>Average</v>
      </c>
      <c r="K179" t="str">
        <f t="shared" si="8"/>
        <v>Pass</v>
      </c>
    </row>
    <row r="180" spans="1:11" x14ac:dyDescent="0.25">
      <c r="A180" t="s">
        <v>13</v>
      </c>
      <c r="B180" t="s">
        <v>14</v>
      </c>
      <c r="C180" t="s">
        <v>19</v>
      </c>
      <c r="D180" t="s">
        <v>16</v>
      </c>
      <c r="E180" t="s">
        <v>12</v>
      </c>
      <c r="F180" s="1">
        <v>83</v>
      </c>
      <c r="G180" s="1">
        <v>93</v>
      </c>
      <c r="H180" s="1">
        <v>95</v>
      </c>
      <c r="I180" s="1">
        <f t="shared" si="6"/>
        <v>90.333333333333329</v>
      </c>
      <c r="J180" t="str">
        <f t="shared" si="7"/>
        <v>Excellent</v>
      </c>
      <c r="K180" t="str">
        <f t="shared" si="8"/>
        <v>Pass</v>
      </c>
    </row>
    <row r="181" spans="1:11" x14ac:dyDescent="0.25">
      <c r="A181" t="s">
        <v>8</v>
      </c>
      <c r="B181" t="s">
        <v>14</v>
      </c>
      <c r="C181" t="s">
        <v>10</v>
      </c>
      <c r="D181" t="s">
        <v>11</v>
      </c>
      <c r="E181" t="s">
        <v>12</v>
      </c>
      <c r="F181" s="1">
        <v>89</v>
      </c>
      <c r="G181" s="1">
        <v>87</v>
      </c>
      <c r="H181" s="1">
        <v>86</v>
      </c>
      <c r="I181" s="1">
        <f t="shared" si="6"/>
        <v>87.333333333333329</v>
      </c>
      <c r="J181" t="str">
        <f t="shared" si="7"/>
        <v>Excellent</v>
      </c>
      <c r="K181" t="str">
        <f t="shared" si="8"/>
        <v>Pass</v>
      </c>
    </row>
    <row r="182" spans="1:11" x14ac:dyDescent="0.25">
      <c r="A182" t="s">
        <v>13</v>
      </c>
      <c r="B182" t="s">
        <v>14</v>
      </c>
      <c r="C182" t="s">
        <v>15</v>
      </c>
      <c r="D182" t="s">
        <v>11</v>
      </c>
      <c r="E182" t="s">
        <v>17</v>
      </c>
      <c r="F182" s="1">
        <v>51</v>
      </c>
      <c r="G182" s="1">
        <v>62</v>
      </c>
      <c r="H182" s="1">
        <v>64</v>
      </c>
      <c r="I182" s="1">
        <f t="shared" si="6"/>
        <v>59</v>
      </c>
      <c r="J182" t="str">
        <f t="shared" si="7"/>
        <v>Average</v>
      </c>
      <c r="K182" t="str">
        <f t="shared" si="8"/>
        <v>Pass</v>
      </c>
    </row>
    <row r="183" spans="1:11" x14ac:dyDescent="0.25">
      <c r="A183" t="s">
        <v>13</v>
      </c>
      <c r="B183" t="s">
        <v>23</v>
      </c>
      <c r="C183" t="s">
        <v>19</v>
      </c>
      <c r="D183" t="s">
        <v>11</v>
      </c>
      <c r="E183" t="s">
        <v>17</v>
      </c>
      <c r="F183" s="1">
        <v>48</v>
      </c>
      <c r="G183" s="1">
        <v>52</v>
      </c>
      <c r="H183" s="1">
        <v>49</v>
      </c>
      <c r="I183" s="1">
        <f t="shared" si="6"/>
        <v>49.666666666666664</v>
      </c>
      <c r="J183" t="str">
        <f t="shared" si="7"/>
        <v>Average</v>
      </c>
      <c r="K183" t="str">
        <f t="shared" si="8"/>
        <v>Pass</v>
      </c>
    </row>
    <row r="184" spans="1:11" x14ac:dyDescent="0.25">
      <c r="A184" t="s">
        <v>13</v>
      </c>
      <c r="B184" t="s">
        <v>18</v>
      </c>
      <c r="C184" t="s">
        <v>22</v>
      </c>
      <c r="D184" t="s">
        <v>11</v>
      </c>
      <c r="E184" t="s">
        <v>17</v>
      </c>
      <c r="F184" s="1">
        <v>84</v>
      </c>
      <c r="G184" s="1">
        <v>95</v>
      </c>
      <c r="H184" s="1">
        <v>89</v>
      </c>
      <c r="I184" s="1">
        <f t="shared" si="6"/>
        <v>89.333333333333329</v>
      </c>
      <c r="J184" t="str">
        <f t="shared" si="7"/>
        <v>Excellent</v>
      </c>
      <c r="K184" t="str">
        <f t="shared" si="8"/>
        <v>Pass</v>
      </c>
    </row>
    <row r="185" spans="1:11" x14ac:dyDescent="0.25">
      <c r="A185" t="s">
        <v>13</v>
      </c>
      <c r="B185" t="s">
        <v>23</v>
      </c>
      <c r="C185" t="s">
        <v>21</v>
      </c>
      <c r="D185" t="s">
        <v>11</v>
      </c>
      <c r="E185" t="s">
        <v>17</v>
      </c>
      <c r="F185" s="1">
        <v>69</v>
      </c>
      <c r="G185" s="1">
        <v>83</v>
      </c>
      <c r="H185" s="1">
        <v>76</v>
      </c>
      <c r="I185" s="1">
        <f t="shared" si="6"/>
        <v>76</v>
      </c>
      <c r="J185" t="str">
        <f t="shared" si="7"/>
        <v>Good</v>
      </c>
      <c r="K185" t="str">
        <f t="shared" si="8"/>
        <v>Pass</v>
      </c>
    </row>
    <row r="186" spans="1:11" x14ac:dyDescent="0.25">
      <c r="A186" t="s">
        <v>13</v>
      </c>
      <c r="B186" t="s">
        <v>23</v>
      </c>
      <c r="C186" t="s">
        <v>21</v>
      </c>
      <c r="D186" t="s">
        <v>11</v>
      </c>
      <c r="E186" t="s">
        <v>12</v>
      </c>
      <c r="F186" s="1">
        <v>75</v>
      </c>
      <c r="G186" s="1">
        <v>85</v>
      </c>
      <c r="H186" s="1">
        <v>87</v>
      </c>
      <c r="I186" s="1">
        <f t="shared" si="6"/>
        <v>82.333333333333329</v>
      </c>
      <c r="J186" t="str">
        <f t="shared" si="7"/>
        <v>Excellent</v>
      </c>
      <c r="K186" t="str">
        <f t="shared" si="8"/>
        <v>Pass</v>
      </c>
    </row>
    <row r="187" spans="1:11" x14ac:dyDescent="0.25">
      <c r="A187" t="s">
        <v>13</v>
      </c>
      <c r="B187" t="s">
        <v>23</v>
      </c>
      <c r="C187" t="s">
        <v>24</v>
      </c>
      <c r="D187" t="s">
        <v>11</v>
      </c>
      <c r="E187" t="s">
        <v>17</v>
      </c>
      <c r="F187" s="1">
        <v>91</v>
      </c>
      <c r="G187" s="1">
        <v>100</v>
      </c>
      <c r="H187" s="1">
        <v>99</v>
      </c>
      <c r="I187" s="1">
        <f t="shared" si="6"/>
        <v>96.666666666666671</v>
      </c>
      <c r="J187" t="str">
        <f t="shared" si="7"/>
        <v>Excellent</v>
      </c>
      <c r="K187" t="str">
        <f t="shared" si="8"/>
        <v>Pass</v>
      </c>
    </row>
    <row r="188" spans="1:11" x14ac:dyDescent="0.25">
      <c r="A188" t="s">
        <v>8</v>
      </c>
      <c r="B188" t="s">
        <v>20</v>
      </c>
      <c r="C188" t="s">
        <v>10</v>
      </c>
      <c r="D188" t="s">
        <v>11</v>
      </c>
      <c r="E188" t="s">
        <v>17</v>
      </c>
      <c r="F188" s="1">
        <v>76</v>
      </c>
      <c r="G188" s="1">
        <v>77</v>
      </c>
      <c r="H188" s="1">
        <v>67</v>
      </c>
      <c r="I188" s="1">
        <f t="shared" si="6"/>
        <v>73.333333333333329</v>
      </c>
      <c r="J188" t="str">
        <f t="shared" si="7"/>
        <v>Good</v>
      </c>
      <c r="K188" t="str">
        <f t="shared" si="8"/>
        <v>Pass</v>
      </c>
    </row>
    <row r="189" spans="1:11" x14ac:dyDescent="0.25">
      <c r="A189" t="s">
        <v>8</v>
      </c>
      <c r="B189" t="s">
        <v>18</v>
      </c>
      <c r="C189" t="s">
        <v>15</v>
      </c>
      <c r="D189" t="s">
        <v>16</v>
      </c>
      <c r="E189" t="s">
        <v>17</v>
      </c>
      <c r="F189" s="1">
        <v>63</v>
      </c>
      <c r="G189" s="1">
        <v>61</v>
      </c>
      <c r="H189" s="1">
        <v>59</v>
      </c>
      <c r="I189" s="1">
        <f t="shared" si="6"/>
        <v>61</v>
      </c>
      <c r="J189" t="str">
        <f t="shared" si="7"/>
        <v>Good</v>
      </c>
      <c r="K189" t="str">
        <f t="shared" si="8"/>
        <v>Pass</v>
      </c>
    </row>
    <row r="190" spans="1:11" x14ac:dyDescent="0.25">
      <c r="A190" t="s">
        <v>8</v>
      </c>
      <c r="B190" t="s">
        <v>14</v>
      </c>
      <c r="C190" t="s">
        <v>10</v>
      </c>
      <c r="D190" t="s">
        <v>11</v>
      </c>
      <c r="E190" t="s">
        <v>17</v>
      </c>
      <c r="F190" s="1">
        <v>73</v>
      </c>
      <c r="G190" s="1">
        <v>65</v>
      </c>
      <c r="H190" s="1">
        <v>64</v>
      </c>
      <c r="I190" s="1">
        <f t="shared" si="6"/>
        <v>67.333333333333329</v>
      </c>
      <c r="J190" t="str">
        <f t="shared" si="7"/>
        <v>Good</v>
      </c>
      <c r="K190" t="str">
        <f t="shared" si="8"/>
        <v>Pass</v>
      </c>
    </row>
    <row r="191" spans="1:11" x14ac:dyDescent="0.25">
      <c r="A191" t="s">
        <v>8</v>
      </c>
      <c r="B191" t="s">
        <v>20</v>
      </c>
      <c r="C191" t="s">
        <v>15</v>
      </c>
      <c r="D191" t="s">
        <v>16</v>
      </c>
      <c r="E191" t="s">
        <v>12</v>
      </c>
      <c r="F191" s="1">
        <v>52</v>
      </c>
      <c r="G191" s="1">
        <v>63</v>
      </c>
      <c r="H191" s="1">
        <v>53</v>
      </c>
      <c r="I191" s="1">
        <f t="shared" si="6"/>
        <v>56</v>
      </c>
      <c r="J191" t="str">
        <f t="shared" si="7"/>
        <v>Average</v>
      </c>
      <c r="K191" t="str">
        <f t="shared" si="8"/>
        <v>Pass</v>
      </c>
    </row>
    <row r="192" spans="1:11" x14ac:dyDescent="0.25">
      <c r="A192" t="s">
        <v>8</v>
      </c>
      <c r="B192" t="s">
        <v>20</v>
      </c>
      <c r="C192" t="s">
        <v>15</v>
      </c>
      <c r="D192" t="s">
        <v>11</v>
      </c>
      <c r="E192" t="s">
        <v>12</v>
      </c>
      <c r="F192" s="1">
        <v>58</v>
      </c>
      <c r="G192" s="1">
        <v>57</v>
      </c>
      <c r="H192" s="1">
        <v>53</v>
      </c>
      <c r="I192" s="1">
        <f t="shared" si="6"/>
        <v>56</v>
      </c>
      <c r="J192" t="str">
        <f t="shared" si="7"/>
        <v>Average</v>
      </c>
      <c r="K192" t="str">
        <f t="shared" si="8"/>
        <v>Pass</v>
      </c>
    </row>
    <row r="193" spans="1:11" x14ac:dyDescent="0.25">
      <c r="A193" t="s">
        <v>13</v>
      </c>
      <c r="B193" t="s">
        <v>20</v>
      </c>
      <c r="C193" t="s">
        <v>15</v>
      </c>
      <c r="D193" t="s">
        <v>11</v>
      </c>
      <c r="E193" t="s">
        <v>17</v>
      </c>
      <c r="F193" s="1">
        <v>33</v>
      </c>
      <c r="G193" s="1">
        <v>51</v>
      </c>
      <c r="H193" s="1">
        <v>51</v>
      </c>
      <c r="I193" s="1">
        <f t="shared" si="6"/>
        <v>45</v>
      </c>
      <c r="J193" t="str">
        <f t="shared" si="7"/>
        <v>Average</v>
      </c>
      <c r="K193" t="str">
        <f t="shared" si="8"/>
        <v>Pass</v>
      </c>
    </row>
    <row r="194" spans="1:11" x14ac:dyDescent="0.25">
      <c r="A194" t="s">
        <v>8</v>
      </c>
      <c r="B194" t="s">
        <v>18</v>
      </c>
      <c r="C194" t="s">
        <v>15</v>
      </c>
      <c r="D194" t="s">
        <v>16</v>
      </c>
      <c r="E194" t="s">
        <v>17</v>
      </c>
      <c r="F194" s="1">
        <v>68</v>
      </c>
      <c r="G194" s="1">
        <v>62</v>
      </c>
      <c r="H194" s="1">
        <v>61</v>
      </c>
      <c r="I194" s="1">
        <f t="shared" ref="I194:I257" si="9">AVERAGE(F194:H194)</f>
        <v>63.666666666666664</v>
      </c>
      <c r="J194" t="str">
        <f t="shared" ref="J194:J257" si="10">IF(I194&gt;=80,"Excellent", IF(I194&gt;=60,"Good", IF(I194&gt;=40,"Average","Poor")))</f>
        <v>Good</v>
      </c>
      <c r="K194" t="str">
        <f t="shared" ref="K194:K257" si="11">IF(I194&gt;=40, "Pass","Fail")</f>
        <v>Pass</v>
      </c>
    </row>
    <row r="195" spans="1:11" x14ac:dyDescent="0.25">
      <c r="A195" t="s">
        <v>13</v>
      </c>
      <c r="B195" t="s">
        <v>23</v>
      </c>
      <c r="C195" t="s">
        <v>21</v>
      </c>
      <c r="D195" t="s">
        <v>11</v>
      </c>
      <c r="E195" t="s">
        <v>12</v>
      </c>
      <c r="F195" s="1">
        <v>77</v>
      </c>
      <c r="G195" s="1">
        <v>91</v>
      </c>
      <c r="H195" s="1">
        <v>89</v>
      </c>
      <c r="I195" s="1">
        <f t="shared" si="9"/>
        <v>85.666666666666671</v>
      </c>
      <c r="J195" t="str">
        <f t="shared" si="10"/>
        <v>Excellent</v>
      </c>
      <c r="K195" t="str">
        <f t="shared" si="11"/>
        <v>Pass</v>
      </c>
    </row>
    <row r="196" spans="1:11" x14ac:dyDescent="0.25">
      <c r="A196" t="s">
        <v>13</v>
      </c>
      <c r="B196" t="s">
        <v>23</v>
      </c>
      <c r="C196" t="s">
        <v>22</v>
      </c>
      <c r="D196" t="s">
        <v>11</v>
      </c>
      <c r="E196" t="s">
        <v>17</v>
      </c>
      <c r="F196" s="1">
        <v>64</v>
      </c>
      <c r="G196" s="1">
        <v>64</v>
      </c>
      <c r="H196" s="1">
        <v>66</v>
      </c>
      <c r="I196" s="1">
        <f t="shared" si="9"/>
        <v>64.666666666666671</v>
      </c>
      <c r="J196" t="str">
        <f t="shared" si="10"/>
        <v>Good</v>
      </c>
      <c r="K196" t="str">
        <f t="shared" si="11"/>
        <v>Pass</v>
      </c>
    </row>
    <row r="197" spans="1:11" x14ac:dyDescent="0.25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 s="1">
        <v>39</v>
      </c>
      <c r="G197" s="1">
        <v>49</v>
      </c>
      <c r="H197" s="1">
        <v>48</v>
      </c>
      <c r="I197" s="1">
        <f t="shared" si="9"/>
        <v>45.333333333333336</v>
      </c>
      <c r="J197" t="str">
        <f t="shared" si="10"/>
        <v>Average</v>
      </c>
      <c r="K197" t="str">
        <f t="shared" si="11"/>
        <v>Pass</v>
      </c>
    </row>
    <row r="198" spans="1:11" x14ac:dyDescent="0.25">
      <c r="A198" t="s">
        <v>8</v>
      </c>
      <c r="B198" t="s">
        <v>14</v>
      </c>
      <c r="C198" t="s">
        <v>22</v>
      </c>
      <c r="D198" t="s">
        <v>11</v>
      </c>
      <c r="E198" t="s">
        <v>17</v>
      </c>
      <c r="F198" s="1">
        <v>50</v>
      </c>
      <c r="G198" s="1">
        <v>46</v>
      </c>
      <c r="H198" s="1">
        <v>48</v>
      </c>
      <c r="I198" s="1">
        <f t="shared" si="9"/>
        <v>48</v>
      </c>
      <c r="J198" t="str">
        <f t="shared" si="10"/>
        <v>Average</v>
      </c>
      <c r="K198" t="str">
        <f t="shared" si="11"/>
        <v>Pass</v>
      </c>
    </row>
    <row r="199" spans="1:11" x14ac:dyDescent="0.25">
      <c r="A199" t="s">
        <v>8</v>
      </c>
      <c r="B199" t="s">
        <v>9</v>
      </c>
      <c r="C199" t="s">
        <v>24</v>
      </c>
      <c r="D199" t="s">
        <v>16</v>
      </c>
      <c r="E199" t="s">
        <v>17</v>
      </c>
      <c r="F199" s="1">
        <v>53</v>
      </c>
      <c r="G199" s="1">
        <v>57</v>
      </c>
      <c r="H199" s="1">
        <v>51</v>
      </c>
      <c r="I199" s="1">
        <f t="shared" si="9"/>
        <v>53.666666666666664</v>
      </c>
      <c r="J199" t="str">
        <f t="shared" si="10"/>
        <v>Average</v>
      </c>
      <c r="K199" t="str">
        <f t="shared" si="11"/>
        <v>Pass</v>
      </c>
    </row>
    <row r="200" spans="1:11" x14ac:dyDescent="0.25">
      <c r="A200" t="s">
        <v>13</v>
      </c>
      <c r="B200" t="s">
        <v>20</v>
      </c>
      <c r="C200" t="s">
        <v>21</v>
      </c>
      <c r="D200" t="s">
        <v>11</v>
      </c>
      <c r="E200" t="s">
        <v>12</v>
      </c>
      <c r="F200" s="1">
        <v>54</v>
      </c>
      <c r="G200" s="1">
        <v>62</v>
      </c>
      <c r="H200" s="1">
        <v>70</v>
      </c>
      <c r="I200" s="1">
        <f t="shared" si="9"/>
        <v>62</v>
      </c>
      <c r="J200" t="str">
        <f t="shared" si="10"/>
        <v>Good</v>
      </c>
      <c r="K200" t="str">
        <f t="shared" si="11"/>
        <v>Pass</v>
      </c>
    </row>
    <row r="201" spans="1:11" x14ac:dyDescent="0.25">
      <c r="A201" t="s">
        <v>8</v>
      </c>
      <c r="B201" t="s">
        <v>14</v>
      </c>
      <c r="C201" t="s">
        <v>10</v>
      </c>
      <c r="D201" t="s">
        <v>11</v>
      </c>
      <c r="E201" t="s">
        <v>17</v>
      </c>
      <c r="F201" s="1">
        <v>74</v>
      </c>
      <c r="G201" s="1">
        <v>63</v>
      </c>
      <c r="H201" s="1">
        <v>65</v>
      </c>
      <c r="I201" s="1">
        <f t="shared" si="9"/>
        <v>67.333333333333329</v>
      </c>
      <c r="J201" t="str">
        <f t="shared" si="10"/>
        <v>Good</v>
      </c>
      <c r="K201" t="str">
        <f t="shared" si="11"/>
        <v>Pass</v>
      </c>
    </row>
    <row r="202" spans="1:11" x14ac:dyDescent="0.25">
      <c r="A202" t="s">
        <v>13</v>
      </c>
      <c r="B202" t="s">
        <v>14</v>
      </c>
      <c r="C202" t="s">
        <v>21</v>
      </c>
      <c r="D202" t="s">
        <v>11</v>
      </c>
      <c r="E202" t="s">
        <v>12</v>
      </c>
      <c r="F202" s="1">
        <v>50</v>
      </c>
      <c r="G202" s="1">
        <v>63</v>
      </c>
      <c r="H202" s="1">
        <v>65</v>
      </c>
      <c r="I202" s="1">
        <f t="shared" si="9"/>
        <v>59.333333333333336</v>
      </c>
      <c r="J202" t="str">
        <f t="shared" si="10"/>
        <v>Average</v>
      </c>
      <c r="K202" t="str">
        <f t="shared" si="11"/>
        <v>Pass</v>
      </c>
    </row>
    <row r="203" spans="1:11" x14ac:dyDescent="0.25">
      <c r="A203" t="s">
        <v>8</v>
      </c>
      <c r="B203" t="s">
        <v>18</v>
      </c>
      <c r="C203" t="s">
        <v>21</v>
      </c>
      <c r="D203" t="s">
        <v>11</v>
      </c>
      <c r="E203" t="s">
        <v>17</v>
      </c>
      <c r="F203" s="1">
        <v>55</v>
      </c>
      <c r="G203" s="1">
        <v>54</v>
      </c>
      <c r="H203" s="1">
        <v>47</v>
      </c>
      <c r="I203" s="1">
        <f t="shared" si="9"/>
        <v>52</v>
      </c>
      <c r="J203" t="str">
        <f t="shared" si="10"/>
        <v>Average</v>
      </c>
      <c r="K203" t="str">
        <f t="shared" si="11"/>
        <v>Pass</v>
      </c>
    </row>
    <row r="204" spans="1:11" x14ac:dyDescent="0.25">
      <c r="A204" t="s">
        <v>8</v>
      </c>
      <c r="B204" t="s">
        <v>23</v>
      </c>
      <c r="C204" t="s">
        <v>19</v>
      </c>
      <c r="D204" t="s">
        <v>11</v>
      </c>
      <c r="E204" t="s">
        <v>17</v>
      </c>
      <c r="F204" s="1">
        <v>77</v>
      </c>
      <c r="G204" s="1">
        <v>64</v>
      </c>
      <c r="H204" s="1">
        <v>70</v>
      </c>
      <c r="I204" s="1">
        <f t="shared" si="9"/>
        <v>70.333333333333329</v>
      </c>
      <c r="J204" t="str">
        <f t="shared" si="10"/>
        <v>Good</v>
      </c>
      <c r="K204" t="str">
        <f t="shared" si="11"/>
        <v>Pass</v>
      </c>
    </row>
    <row r="205" spans="1:11" x14ac:dyDescent="0.25">
      <c r="A205" t="s">
        <v>13</v>
      </c>
      <c r="B205" t="s">
        <v>20</v>
      </c>
      <c r="C205" t="s">
        <v>15</v>
      </c>
      <c r="D205" t="s">
        <v>11</v>
      </c>
      <c r="E205" t="s">
        <v>12</v>
      </c>
      <c r="F205" s="1">
        <v>49</v>
      </c>
      <c r="G205" s="1">
        <v>64</v>
      </c>
      <c r="H205" s="1">
        <v>67</v>
      </c>
      <c r="I205" s="1">
        <f t="shared" si="9"/>
        <v>60</v>
      </c>
      <c r="J205" t="str">
        <f t="shared" si="10"/>
        <v>Good</v>
      </c>
      <c r="K205" t="str">
        <f t="shared" si="11"/>
        <v>Pass</v>
      </c>
    </row>
    <row r="206" spans="1:11" x14ac:dyDescent="0.25">
      <c r="A206" t="s">
        <v>13</v>
      </c>
      <c r="B206" t="s">
        <v>14</v>
      </c>
      <c r="C206" t="s">
        <v>21</v>
      </c>
      <c r="D206" t="s">
        <v>16</v>
      </c>
      <c r="E206" t="s">
        <v>17</v>
      </c>
      <c r="F206" s="1">
        <v>66</v>
      </c>
      <c r="G206" s="1">
        <v>83</v>
      </c>
      <c r="H206" s="1">
        <v>82</v>
      </c>
      <c r="I206" s="1">
        <f t="shared" si="9"/>
        <v>77</v>
      </c>
      <c r="J206" t="str">
        <f t="shared" si="10"/>
        <v>Good</v>
      </c>
      <c r="K206" t="str">
        <f t="shared" si="11"/>
        <v>Pass</v>
      </c>
    </row>
    <row r="207" spans="1:11" x14ac:dyDescent="0.25">
      <c r="A207" t="s">
        <v>8</v>
      </c>
      <c r="B207" t="s">
        <v>20</v>
      </c>
      <c r="C207" t="s">
        <v>15</v>
      </c>
      <c r="D207" t="s">
        <v>11</v>
      </c>
      <c r="E207" t="s">
        <v>12</v>
      </c>
      <c r="F207" s="1">
        <v>77</v>
      </c>
      <c r="G207" s="1">
        <v>74</v>
      </c>
      <c r="H207" s="1">
        <v>75</v>
      </c>
      <c r="I207" s="1">
        <f t="shared" si="9"/>
        <v>75.333333333333329</v>
      </c>
      <c r="J207" t="str">
        <f t="shared" si="10"/>
        <v>Good</v>
      </c>
      <c r="K207" t="str">
        <f t="shared" si="11"/>
        <v>Pass</v>
      </c>
    </row>
    <row r="208" spans="1:11" x14ac:dyDescent="0.25">
      <c r="A208" t="s">
        <v>13</v>
      </c>
      <c r="B208" t="s">
        <v>9</v>
      </c>
      <c r="C208" t="s">
        <v>24</v>
      </c>
      <c r="D208" t="s">
        <v>11</v>
      </c>
      <c r="E208" t="s">
        <v>12</v>
      </c>
      <c r="F208" s="1">
        <v>74</v>
      </c>
      <c r="G208" s="1">
        <v>78</v>
      </c>
      <c r="H208" s="1">
        <v>84</v>
      </c>
      <c r="I208" s="1">
        <f t="shared" si="9"/>
        <v>78.666666666666671</v>
      </c>
      <c r="J208" t="str">
        <f t="shared" si="10"/>
        <v>Good</v>
      </c>
      <c r="K208" t="str">
        <f t="shared" si="11"/>
        <v>Pass</v>
      </c>
    </row>
    <row r="209" spans="1:11" x14ac:dyDescent="0.25">
      <c r="A209" t="s">
        <v>8</v>
      </c>
      <c r="B209" t="s">
        <v>23</v>
      </c>
      <c r="C209" t="s">
        <v>19</v>
      </c>
      <c r="D209" t="s">
        <v>11</v>
      </c>
      <c r="E209" t="s">
        <v>17</v>
      </c>
      <c r="F209" s="1">
        <v>85</v>
      </c>
      <c r="G209" s="1">
        <v>78</v>
      </c>
      <c r="H209" s="1">
        <v>81</v>
      </c>
      <c r="I209" s="1">
        <f t="shared" si="9"/>
        <v>81.333333333333329</v>
      </c>
      <c r="J209" t="str">
        <f t="shared" si="10"/>
        <v>Excellent</v>
      </c>
      <c r="K209" t="str">
        <f t="shared" si="11"/>
        <v>Pass</v>
      </c>
    </row>
    <row r="210" spans="1:11" x14ac:dyDescent="0.25">
      <c r="A210" t="s">
        <v>13</v>
      </c>
      <c r="B210" t="s">
        <v>9</v>
      </c>
      <c r="C210" t="s">
        <v>19</v>
      </c>
      <c r="D210" t="s">
        <v>11</v>
      </c>
      <c r="E210" t="s">
        <v>17</v>
      </c>
      <c r="F210" s="1">
        <v>77</v>
      </c>
      <c r="G210" s="1">
        <v>86</v>
      </c>
      <c r="H210" s="1">
        <v>84</v>
      </c>
      <c r="I210" s="1">
        <f t="shared" si="9"/>
        <v>82.333333333333329</v>
      </c>
      <c r="J210" t="str">
        <f t="shared" si="10"/>
        <v>Excellent</v>
      </c>
      <c r="K210" t="str">
        <f t="shared" si="11"/>
        <v>Pass</v>
      </c>
    </row>
    <row r="211" spans="1:11" x14ac:dyDescent="0.25">
      <c r="A211" t="s">
        <v>13</v>
      </c>
      <c r="B211" t="s">
        <v>20</v>
      </c>
      <c r="C211" t="s">
        <v>21</v>
      </c>
      <c r="D211" t="s">
        <v>11</v>
      </c>
      <c r="E211" t="s">
        <v>17</v>
      </c>
      <c r="F211" s="1">
        <v>64</v>
      </c>
      <c r="G211" s="1">
        <v>62</v>
      </c>
      <c r="H211" s="1">
        <v>66</v>
      </c>
      <c r="I211" s="1">
        <f t="shared" si="9"/>
        <v>64</v>
      </c>
      <c r="J211" t="str">
        <f t="shared" si="10"/>
        <v>Good</v>
      </c>
      <c r="K211" t="str">
        <f t="shared" si="11"/>
        <v>Pass</v>
      </c>
    </row>
    <row r="212" spans="1:11" x14ac:dyDescent="0.25">
      <c r="A212" t="s">
        <v>13</v>
      </c>
      <c r="B212" t="s">
        <v>14</v>
      </c>
      <c r="C212" t="s">
        <v>10</v>
      </c>
      <c r="D212" t="s">
        <v>16</v>
      </c>
      <c r="E212" t="s">
        <v>12</v>
      </c>
      <c r="F212" s="1">
        <v>61</v>
      </c>
      <c r="G212" s="1">
        <v>69</v>
      </c>
      <c r="H212" s="1">
        <v>68</v>
      </c>
      <c r="I212" s="1">
        <f t="shared" si="9"/>
        <v>66</v>
      </c>
      <c r="J212" t="str">
        <f t="shared" si="10"/>
        <v>Good</v>
      </c>
      <c r="K212" t="str">
        <f t="shared" si="11"/>
        <v>Pass</v>
      </c>
    </row>
    <row r="213" spans="1:11" x14ac:dyDescent="0.25">
      <c r="A213" t="s">
        <v>8</v>
      </c>
      <c r="B213" t="s">
        <v>14</v>
      </c>
      <c r="C213" t="s">
        <v>21</v>
      </c>
      <c r="D213" t="s">
        <v>11</v>
      </c>
      <c r="E213" t="s">
        <v>17</v>
      </c>
      <c r="F213" s="1">
        <v>97</v>
      </c>
      <c r="G213" s="1">
        <v>88</v>
      </c>
      <c r="H213" s="1">
        <v>85</v>
      </c>
      <c r="I213" s="1">
        <f t="shared" si="9"/>
        <v>90</v>
      </c>
      <c r="J213" t="str">
        <f t="shared" si="10"/>
        <v>Excellent</v>
      </c>
      <c r="K213" t="str">
        <f t="shared" si="11"/>
        <v>Pass</v>
      </c>
    </row>
    <row r="214" spans="1:11" x14ac:dyDescent="0.25">
      <c r="A214" t="s">
        <v>8</v>
      </c>
      <c r="B214" t="s">
        <v>23</v>
      </c>
      <c r="C214" t="s">
        <v>19</v>
      </c>
      <c r="D214" t="s">
        <v>11</v>
      </c>
      <c r="E214" t="s">
        <v>12</v>
      </c>
      <c r="F214" s="1">
        <v>66</v>
      </c>
      <c r="G214" s="1">
        <v>75</v>
      </c>
      <c r="H214" s="1">
        <v>70</v>
      </c>
      <c r="I214" s="1">
        <f t="shared" si="9"/>
        <v>70.333333333333329</v>
      </c>
      <c r="J214" t="str">
        <f t="shared" si="10"/>
        <v>Good</v>
      </c>
      <c r="K214" t="str">
        <f t="shared" si="11"/>
        <v>Pass</v>
      </c>
    </row>
    <row r="215" spans="1:11" x14ac:dyDescent="0.25">
      <c r="A215" t="s">
        <v>8</v>
      </c>
      <c r="B215" t="s">
        <v>23</v>
      </c>
      <c r="C215" t="s">
        <v>15</v>
      </c>
      <c r="D215" t="s">
        <v>11</v>
      </c>
      <c r="E215" t="s">
        <v>17</v>
      </c>
      <c r="F215" s="1">
        <v>62</v>
      </c>
      <c r="G215" s="1">
        <v>66</v>
      </c>
      <c r="H215" s="1">
        <v>64</v>
      </c>
      <c r="I215" s="1">
        <f t="shared" si="9"/>
        <v>64</v>
      </c>
      <c r="J215" t="str">
        <f t="shared" si="10"/>
        <v>Good</v>
      </c>
      <c r="K215" t="str">
        <f t="shared" si="11"/>
        <v>Pass</v>
      </c>
    </row>
    <row r="216" spans="1:11" x14ac:dyDescent="0.25">
      <c r="A216" t="s">
        <v>13</v>
      </c>
      <c r="B216" t="s">
        <v>18</v>
      </c>
      <c r="C216" t="s">
        <v>15</v>
      </c>
      <c r="D216" t="s">
        <v>11</v>
      </c>
      <c r="E216" t="s">
        <v>12</v>
      </c>
      <c r="F216" s="1">
        <v>64</v>
      </c>
      <c r="G216" s="1">
        <v>80</v>
      </c>
      <c r="H216" s="1">
        <v>77</v>
      </c>
      <c r="I216" s="1">
        <f t="shared" si="9"/>
        <v>73.666666666666671</v>
      </c>
      <c r="J216" t="str">
        <f t="shared" si="10"/>
        <v>Good</v>
      </c>
      <c r="K216" t="str">
        <f t="shared" si="11"/>
        <v>Pass</v>
      </c>
    </row>
    <row r="217" spans="1:11" x14ac:dyDescent="0.25">
      <c r="A217" t="s">
        <v>13</v>
      </c>
      <c r="B217" t="s">
        <v>20</v>
      </c>
      <c r="C217" t="s">
        <v>22</v>
      </c>
      <c r="D217" t="s">
        <v>16</v>
      </c>
      <c r="E217" t="s">
        <v>17</v>
      </c>
      <c r="F217" s="1">
        <v>55</v>
      </c>
      <c r="G217" s="1">
        <v>57</v>
      </c>
      <c r="H217" s="1">
        <v>60</v>
      </c>
      <c r="I217" s="1">
        <f t="shared" si="9"/>
        <v>57.333333333333336</v>
      </c>
      <c r="J217" t="str">
        <f t="shared" si="10"/>
        <v>Average</v>
      </c>
      <c r="K217" t="str">
        <f t="shared" si="11"/>
        <v>Pass</v>
      </c>
    </row>
    <row r="218" spans="1:11" x14ac:dyDescent="0.25">
      <c r="A218" t="s">
        <v>13</v>
      </c>
      <c r="B218" t="s">
        <v>20</v>
      </c>
      <c r="C218" t="s">
        <v>21</v>
      </c>
      <c r="D218" t="s">
        <v>11</v>
      </c>
      <c r="E218" t="s">
        <v>17</v>
      </c>
      <c r="F218" s="1">
        <v>53</v>
      </c>
      <c r="G218" s="1">
        <v>72</v>
      </c>
      <c r="H218" s="1">
        <v>66</v>
      </c>
      <c r="I218" s="1">
        <f t="shared" si="9"/>
        <v>63.666666666666664</v>
      </c>
      <c r="J218" t="str">
        <f t="shared" si="10"/>
        <v>Good</v>
      </c>
      <c r="K218" t="str">
        <f t="shared" si="11"/>
        <v>Pass</v>
      </c>
    </row>
    <row r="219" spans="1:11" x14ac:dyDescent="0.25">
      <c r="A219" t="s">
        <v>13</v>
      </c>
      <c r="B219" t="s">
        <v>14</v>
      </c>
      <c r="C219" t="s">
        <v>19</v>
      </c>
      <c r="D219" t="s">
        <v>16</v>
      </c>
      <c r="E219" t="s">
        <v>17</v>
      </c>
      <c r="F219" s="1">
        <v>71</v>
      </c>
      <c r="G219" s="1">
        <v>81</v>
      </c>
      <c r="H219" s="1">
        <v>77</v>
      </c>
      <c r="I219" s="1">
        <f t="shared" si="9"/>
        <v>76.333333333333329</v>
      </c>
      <c r="J219" t="str">
        <f t="shared" si="10"/>
        <v>Good</v>
      </c>
      <c r="K219" t="str">
        <f t="shared" si="11"/>
        <v>Pass</v>
      </c>
    </row>
    <row r="220" spans="1:11" x14ac:dyDescent="0.25">
      <c r="A220" t="s">
        <v>8</v>
      </c>
      <c r="B220" t="s">
        <v>20</v>
      </c>
      <c r="C220" t="s">
        <v>10</v>
      </c>
      <c r="D220" t="s">
        <v>16</v>
      </c>
      <c r="E220" t="s">
        <v>12</v>
      </c>
      <c r="F220" s="1">
        <v>66</v>
      </c>
      <c r="G220" s="1">
        <v>59</v>
      </c>
      <c r="H220" s="1">
        <v>68</v>
      </c>
      <c r="I220" s="1">
        <f t="shared" si="9"/>
        <v>64.333333333333329</v>
      </c>
      <c r="J220" t="str">
        <f t="shared" si="10"/>
        <v>Good</v>
      </c>
      <c r="K220" t="str">
        <f t="shared" si="11"/>
        <v>Pass</v>
      </c>
    </row>
    <row r="221" spans="1:11" x14ac:dyDescent="0.25">
      <c r="A221" t="s">
        <v>8</v>
      </c>
      <c r="B221" t="s">
        <v>23</v>
      </c>
      <c r="C221" t="s">
        <v>21</v>
      </c>
      <c r="D221" t="s">
        <v>11</v>
      </c>
      <c r="E221" t="s">
        <v>17</v>
      </c>
      <c r="F221" s="1">
        <v>68</v>
      </c>
      <c r="G221" s="1">
        <v>61</v>
      </c>
      <c r="H221" s="1">
        <v>62</v>
      </c>
      <c r="I221" s="1">
        <f t="shared" si="9"/>
        <v>63.666666666666664</v>
      </c>
      <c r="J221" t="str">
        <f t="shared" si="10"/>
        <v>Good</v>
      </c>
      <c r="K221" t="str">
        <f t="shared" si="11"/>
        <v>Pass</v>
      </c>
    </row>
    <row r="222" spans="1:11" x14ac:dyDescent="0.25">
      <c r="A222" t="s">
        <v>8</v>
      </c>
      <c r="B222" t="s">
        <v>14</v>
      </c>
      <c r="C222" t="s">
        <v>19</v>
      </c>
      <c r="D222" t="s">
        <v>11</v>
      </c>
      <c r="E222" t="s">
        <v>17</v>
      </c>
      <c r="F222" s="1">
        <v>89</v>
      </c>
      <c r="G222" s="1">
        <v>90</v>
      </c>
      <c r="H222" s="1">
        <v>83</v>
      </c>
      <c r="I222" s="1">
        <f t="shared" si="9"/>
        <v>87.333333333333329</v>
      </c>
      <c r="J222" t="str">
        <f t="shared" si="10"/>
        <v>Excellent</v>
      </c>
      <c r="K222" t="str">
        <f t="shared" si="11"/>
        <v>Pass</v>
      </c>
    </row>
    <row r="223" spans="1:11" x14ac:dyDescent="0.25">
      <c r="A223" t="s">
        <v>8</v>
      </c>
      <c r="B223" t="s">
        <v>23</v>
      </c>
      <c r="C223" t="s">
        <v>21</v>
      </c>
      <c r="D223" t="s">
        <v>11</v>
      </c>
      <c r="E223" t="s">
        <v>12</v>
      </c>
      <c r="F223" s="1">
        <v>65</v>
      </c>
      <c r="G223" s="1">
        <v>69</v>
      </c>
      <c r="H223" s="1">
        <v>74</v>
      </c>
      <c r="I223" s="1">
        <f t="shared" si="9"/>
        <v>69.333333333333329</v>
      </c>
      <c r="J223" t="str">
        <f t="shared" si="10"/>
        <v>Good</v>
      </c>
      <c r="K223" t="str">
        <f t="shared" si="11"/>
        <v>Pass</v>
      </c>
    </row>
    <row r="224" spans="1:11" x14ac:dyDescent="0.25">
      <c r="A224" t="s">
        <v>13</v>
      </c>
      <c r="B224" t="s">
        <v>20</v>
      </c>
      <c r="C224" t="s">
        <v>15</v>
      </c>
      <c r="D224" t="s">
        <v>11</v>
      </c>
      <c r="E224" t="s">
        <v>17</v>
      </c>
      <c r="F224" s="1">
        <v>43</v>
      </c>
      <c r="G224" s="1">
        <v>48</v>
      </c>
      <c r="H224" s="1">
        <v>44</v>
      </c>
      <c r="I224" s="1">
        <f t="shared" si="9"/>
        <v>45</v>
      </c>
      <c r="J224" t="str">
        <f t="shared" si="10"/>
        <v>Average</v>
      </c>
      <c r="K224" t="str">
        <f t="shared" si="11"/>
        <v>Pass</v>
      </c>
    </row>
    <row r="225" spans="1:11" x14ac:dyDescent="0.25">
      <c r="A225" t="s">
        <v>13</v>
      </c>
      <c r="B225" t="s">
        <v>14</v>
      </c>
      <c r="C225" t="s">
        <v>24</v>
      </c>
      <c r="D225" t="s">
        <v>11</v>
      </c>
      <c r="E225" t="s">
        <v>17</v>
      </c>
      <c r="F225" s="1">
        <v>79</v>
      </c>
      <c r="G225" s="1">
        <v>77</v>
      </c>
      <c r="H225" s="1">
        <v>83</v>
      </c>
      <c r="I225" s="1">
        <f t="shared" si="9"/>
        <v>79.666666666666671</v>
      </c>
      <c r="J225" t="str">
        <f t="shared" si="10"/>
        <v>Good</v>
      </c>
      <c r="K225" t="str">
        <f t="shared" si="11"/>
        <v>Pass</v>
      </c>
    </row>
    <row r="226" spans="1:11" x14ac:dyDescent="0.25">
      <c r="A226" t="s">
        <v>8</v>
      </c>
      <c r="B226" t="s">
        <v>14</v>
      </c>
      <c r="C226" t="s">
        <v>22</v>
      </c>
      <c r="D226" t="s">
        <v>11</v>
      </c>
      <c r="E226" t="s">
        <v>17</v>
      </c>
      <c r="F226" s="1">
        <v>99</v>
      </c>
      <c r="G226" s="1">
        <v>94</v>
      </c>
      <c r="H226" s="1">
        <v>97</v>
      </c>
      <c r="I226" s="1">
        <f t="shared" si="9"/>
        <v>96.666666666666671</v>
      </c>
      <c r="J226" t="str">
        <f t="shared" si="10"/>
        <v>Excellent</v>
      </c>
      <c r="K226" t="str">
        <f t="shared" si="11"/>
        <v>Pass</v>
      </c>
    </row>
    <row r="227" spans="1:11" x14ac:dyDescent="0.25">
      <c r="A227" t="s">
        <v>8</v>
      </c>
      <c r="B227" t="s">
        <v>14</v>
      </c>
      <c r="C227" t="s">
        <v>15</v>
      </c>
      <c r="D227" t="s">
        <v>11</v>
      </c>
      <c r="E227" t="s">
        <v>17</v>
      </c>
      <c r="F227" s="1">
        <v>82</v>
      </c>
      <c r="G227" s="1">
        <v>69</v>
      </c>
      <c r="H227" s="1">
        <v>72</v>
      </c>
      <c r="I227" s="1">
        <f t="shared" si="9"/>
        <v>74.333333333333329</v>
      </c>
      <c r="J227" t="str">
        <f t="shared" si="10"/>
        <v>Good</v>
      </c>
      <c r="K227" t="str">
        <f t="shared" si="11"/>
        <v>Pass</v>
      </c>
    </row>
    <row r="228" spans="1:11" x14ac:dyDescent="0.25">
      <c r="A228" t="s">
        <v>8</v>
      </c>
      <c r="B228" t="s">
        <v>14</v>
      </c>
      <c r="C228" t="s">
        <v>19</v>
      </c>
      <c r="D228" t="s">
        <v>16</v>
      </c>
      <c r="E228" t="s">
        <v>12</v>
      </c>
      <c r="F228" s="1">
        <v>35</v>
      </c>
      <c r="G228" s="1">
        <v>36</v>
      </c>
      <c r="H228" s="1">
        <v>39</v>
      </c>
      <c r="I228" s="1">
        <f t="shared" si="9"/>
        <v>36.666666666666664</v>
      </c>
      <c r="J228" t="str">
        <f t="shared" si="10"/>
        <v>Poor</v>
      </c>
      <c r="K228" t="str">
        <f t="shared" si="11"/>
        <v>Fail</v>
      </c>
    </row>
    <row r="229" spans="1:11" x14ac:dyDescent="0.25">
      <c r="A229" t="s">
        <v>13</v>
      </c>
      <c r="B229" t="s">
        <v>14</v>
      </c>
      <c r="C229" t="s">
        <v>22</v>
      </c>
      <c r="D229" t="s">
        <v>16</v>
      </c>
      <c r="E229" t="s">
        <v>17</v>
      </c>
      <c r="F229" s="1">
        <v>61</v>
      </c>
      <c r="G229" s="1">
        <v>71</v>
      </c>
      <c r="H229" s="1">
        <v>73</v>
      </c>
      <c r="I229" s="1">
        <f t="shared" si="9"/>
        <v>68.333333333333329</v>
      </c>
      <c r="J229" t="str">
        <f t="shared" si="10"/>
        <v>Good</v>
      </c>
      <c r="K229" t="str">
        <f t="shared" si="11"/>
        <v>Pass</v>
      </c>
    </row>
    <row r="230" spans="1:11" x14ac:dyDescent="0.25">
      <c r="A230" t="s">
        <v>13</v>
      </c>
      <c r="B230" t="s">
        <v>14</v>
      </c>
      <c r="C230" t="s">
        <v>10</v>
      </c>
      <c r="D230" t="s">
        <v>11</v>
      </c>
      <c r="E230" t="s">
        <v>17</v>
      </c>
      <c r="F230" s="1">
        <v>76</v>
      </c>
      <c r="G230" s="1">
        <v>80</v>
      </c>
      <c r="H230" s="1">
        <v>81</v>
      </c>
      <c r="I230" s="1">
        <f t="shared" si="9"/>
        <v>79</v>
      </c>
      <c r="J230" t="str">
        <f t="shared" si="10"/>
        <v>Good</v>
      </c>
      <c r="K230" t="str">
        <f t="shared" si="11"/>
        <v>Pass</v>
      </c>
    </row>
    <row r="231" spans="1:11" x14ac:dyDescent="0.25">
      <c r="A231" t="s">
        <v>8</v>
      </c>
      <c r="B231" t="s">
        <v>23</v>
      </c>
      <c r="C231" t="s">
        <v>21</v>
      </c>
      <c r="D231" t="s">
        <v>16</v>
      </c>
      <c r="E231" t="s">
        <v>12</v>
      </c>
      <c r="F231" s="1">
        <v>94</v>
      </c>
      <c r="G231" s="1">
        <v>83</v>
      </c>
      <c r="H231" s="1">
        <v>82</v>
      </c>
      <c r="I231" s="1">
        <f t="shared" si="9"/>
        <v>86.333333333333329</v>
      </c>
      <c r="J231" t="str">
        <f t="shared" si="10"/>
        <v>Excellent</v>
      </c>
      <c r="K231" t="str">
        <f t="shared" si="11"/>
        <v>Pass</v>
      </c>
    </row>
    <row r="232" spans="1:11" x14ac:dyDescent="0.25">
      <c r="A232" t="s">
        <v>13</v>
      </c>
      <c r="B232" t="s">
        <v>23</v>
      </c>
      <c r="C232" t="s">
        <v>10</v>
      </c>
      <c r="D232" t="s">
        <v>11</v>
      </c>
      <c r="E232" t="s">
        <v>17</v>
      </c>
      <c r="F232" s="1">
        <v>75</v>
      </c>
      <c r="G232" s="1">
        <v>90</v>
      </c>
      <c r="H232" s="1">
        <v>78</v>
      </c>
      <c r="I232" s="1">
        <f t="shared" si="9"/>
        <v>81</v>
      </c>
      <c r="J232" t="str">
        <f t="shared" si="10"/>
        <v>Excellent</v>
      </c>
      <c r="K232" t="str">
        <f t="shared" si="11"/>
        <v>Pass</v>
      </c>
    </row>
    <row r="233" spans="1:11" x14ac:dyDescent="0.25">
      <c r="A233" t="s">
        <v>8</v>
      </c>
      <c r="B233" t="s">
        <v>20</v>
      </c>
      <c r="C233" t="s">
        <v>19</v>
      </c>
      <c r="D233" t="s">
        <v>11</v>
      </c>
      <c r="E233" t="s">
        <v>17</v>
      </c>
      <c r="F233" s="1">
        <v>81</v>
      </c>
      <c r="G233" s="1">
        <v>75</v>
      </c>
      <c r="H233" s="1">
        <v>70</v>
      </c>
      <c r="I233" s="1">
        <f t="shared" si="9"/>
        <v>75.333333333333329</v>
      </c>
      <c r="J233" t="str">
        <f t="shared" si="10"/>
        <v>Good</v>
      </c>
      <c r="K233" t="str">
        <f t="shared" si="11"/>
        <v>Pass</v>
      </c>
    </row>
    <row r="234" spans="1:11" x14ac:dyDescent="0.25">
      <c r="A234" t="s">
        <v>8</v>
      </c>
      <c r="B234" t="s">
        <v>23</v>
      </c>
      <c r="C234" t="s">
        <v>19</v>
      </c>
      <c r="D234" t="s">
        <v>16</v>
      </c>
      <c r="E234" t="s">
        <v>17</v>
      </c>
      <c r="F234" s="1">
        <v>35</v>
      </c>
      <c r="G234" s="1">
        <v>44</v>
      </c>
      <c r="H234" s="1">
        <v>33</v>
      </c>
      <c r="I234" s="1">
        <f t="shared" si="9"/>
        <v>37.333333333333336</v>
      </c>
      <c r="J234" t="str">
        <f t="shared" si="10"/>
        <v>Poor</v>
      </c>
      <c r="K234" t="str">
        <f t="shared" si="11"/>
        <v>Fail</v>
      </c>
    </row>
    <row r="235" spans="1:11" x14ac:dyDescent="0.25">
      <c r="A235" t="s">
        <v>8</v>
      </c>
      <c r="B235" t="s">
        <v>23</v>
      </c>
      <c r="C235" t="s">
        <v>19</v>
      </c>
      <c r="D235" t="s">
        <v>11</v>
      </c>
      <c r="E235" t="s">
        <v>17</v>
      </c>
      <c r="F235" s="1">
        <v>76</v>
      </c>
      <c r="G235" s="1">
        <v>74</v>
      </c>
      <c r="H235" s="1">
        <v>72</v>
      </c>
      <c r="I235" s="1">
        <f t="shared" si="9"/>
        <v>74</v>
      </c>
      <c r="J235" t="str">
        <f t="shared" si="10"/>
        <v>Good</v>
      </c>
      <c r="K235" t="str">
        <f t="shared" si="11"/>
        <v>Pass</v>
      </c>
    </row>
    <row r="236" spans="1:11" x14ac:dyDescent="0.25">
      <c r="A236" t="s">
        <v>13</v>
      </c>
      <c r="B236" t="s">
        <v>20</v>
      </c>
      <c r="C236" t="s">
        <v>22</v>
      </c>
      <c r="D236" t="s">
        <v>11</v>
      </c>
      <c r="E236" t="s">
        <v>17</v>
      </c>
      <c r="F236" s="1">
        <v>58</v>
      </c>
      <c r="G236" s="1">
        <v>79</v>
      </c>
      <c r="H236" s="1">
        <v>82</v>
      </c>
      <c r="I236" s="1">
        <f t="shared" si="9"/>
        <v>73</v>
      </c>
      <c r="J236" t="str">
        <f t="shared" si="10"/>
        <v>Good</v>
      </c>
      <c r="K236" t="str">
        <f t="shared" si="11"/>
        <v>Pass</v>
      </c>
    </row>
    <row r="237" spans="1:11" x14ac:dyDescent="0.25">
      <c r="A237" t="s">
        <v>8</v>
      </c>
      <c r="B237" t="s">
        <v>23</v>
      </c>
      <c r="C237" t="s">
        <v>21</v>
      </c>
      <c r="D237" t="s">
        <v>11</v>
      </c>
      <c r="E237" t="s">
        <v>12</v>
      </c>
      <c r="F237" s="1">
        <v>100</v>
      </c>
      <c r="G237" s="1">
        <v>91</v>
      </c>
      <c r="H237" s="1">
        <v>90</v>
      </c>
      <c r="I237" s="1">
        <f t="shared" si="9"/>
        <v>93.666666666666671</v>
      </c>
      <c r="J237" t="str">
        <f t="shared" si="10"/>
        <v>Excellent</v>
      </c>
      <c r="K237" t="str">
        <f t="shared" si="11"/>
        <v>Pass</v>
      </c>
    </row>
    <row r="238" spans="1:11" x14ac:dyDescent="0.25">
      <c r="A238" t="s">
        <v>13</v>
      </c>
      <c r="B238" t="s">
        <v>23</v>
      </c>
      <c r="C238" t="s">
        <v>22</v>
      </c>
      <c r="D238" t="s">
        <v>11</v>
      </c>
      <c r="E238" t="s">
        <v>17</v>
      </c>
      <c r="F238" s="1">
        <v>53</v>
      </c>
      <c r="G238" s="1">
        <v>68</v>
      </c>
      <c r="H238" s="1">
        <v>64</v>
      </c>
      <c r="I238" s="1">
        <f t="shared" si="9"/>
        <v>61.666666666666664</v>
      </c>
      <c r="J238" t="str">
        <f t="shared" si="10"/>
        <v>Good</v>
      </c>
      <c r="K238" t="str">
        <f t="shared" si="11"/>
        <v>Pass</v>
      </c>
    </row>
    <row r="239" spans="1:11" x14ac:dyDescent="0.25">
      <c r="A239" t="s">
        <v>13</v>
      </c>
      <c r="B239" t="s">
        <v>14</v>
      </c>
      <c r="C239" t="s">
        <v>10</v>
      </c>
      <c r="D239" t="s">
        <v>11</v>
      </c>
      <c r="E239" t="s">
        <v>17</v>
      </c>
      <c r="F239" s="1">
        <v>82</v>
      </c>
      <c r="G239" s="1">
        <v>95</v>
      </c>
      <c r="H239" s="1">
        <v>96</v>
      </c>
      <c r="I239" s="1">
        <f t="shared" si="9"/>
        <v>91</v>
      </c>
      <c r="J239" t="str">
        <f t="shared" si="10"/>
        <v>Excellent</v>
      </c>
      <c r="K239" t="str">
        <f t="shared" si="11"/>
        <v>Pass</v>
      </c>
    </row>
    <row r="240" spans="1:11" x14ac:dyDescent="0.25">
      <c r="A240" t="s">
        <v>8</v>
      </c>
      <c r="B240" t="s">
        <v>20</v>
      </c>
      <c r="C240" t="s">
        <v>21</v>
      </c>
      <c r="D240" t="s">
        <v>11</v>
      </c>
      <c r="E240" t="s">
        <v>17</v>
      </c>
      <c r="F240" s="1">
        <v>76</v>
      </c>
      <c r="G240" s="1">
        <v>62</v>
      </c>
      <c r="H240" s="1">
        <v>64</v>
      </c>
      <c r="I240" s="1">
        <f t="shared" si="9"/>
        <v>67.333333333333329</v>
      </c>
      <c r="J240" t="str">
        <f t="shared" si="10"/>
        <v>Good</v>
      </c>
      <c r="K240" t="str">
        <f t="shared" si="11"/>
        <v>Pass</v>
      </c>
    </row>
    <row r="241" spans="1:11" x14ac:dyDescent="0.25">
      <c r="A241" t="s">
        <v>8</v>
      </c>
      <c r="B241" t="s">
        <v>23</v>
      </c>
      <c r="C241" t="s">
        <v>22</v>
      </c>
      <c r="D241" t="s">
        <v>11</v>
      </c>
      <c r="E241" t="s">
        <v>12</v>
      </c>
      <c r="F241" s="1">
        <v>83</v>
      </c>
      <c r="G241" s="1">
        <v>75</v>
      </c>
      <c r="H241" s="1">
        <v>75</v>
      </c>
      <c r="I241" s="1">
        <f t="shared" si="9"/>
        <v>77.666666666666671</v>
      </c>
      <c r="J241" t="str">
        <f t="shared" si="10"/>
        <v>Good</v>
      </c>
      <c r="K241" t="str">
        <f t="shared" si="11"/>
        <v>Pass</v>
      </c>
    </row>
    <row r="242" spans="1:11" x14ac:dyDescent="0.25">
      <c r="A242" t="s">
        <v>13</v>
      </c>
      <c r="B242" t="s">
        <v>14</v>
      </c>
      <c r="C242" t="s">
        <v>19</v>
      </c>
      <c r="D242" t="s">
        <v>11</v>
      </c>
      <c r="E242" t="s">
        <v>17</v>
      </c>
      <c r="F242" s="1">
        <v>72</v>
      </c>
      <c r="G242" s="1">
        <v>84</v>
      </c>
      <c r="H242" s="1">
        <v>82</v>
      </c>
      <c r="I242" s="1">
        <f t="shared" si="9"/>
        <v>79.333333333333329</v>
      </c>
      <c r="J242" t="str">
        <f t="shared" si="10"/>
        <v>Good</v>
      </c>
      <c r="K242" t="str">
        <f t="shared" si="11"/>
        <v>Pass</v>
      </c>
    </row>
    <row r="243" spans="1:11" x14ac:dyDescent="0.25">
      <c r="A243" t="s">
        <v>8</v>
      </c>
      <c r="B243" t="s">
        <v>14</v>
      </c>
      <c r="C243" t="s">
        <v>21</v>
      </c>
      <c r="D243" t="s">
        <v>11</v>
      </c>
      <c r="E243" t="s">
        <v>12</v>
      </c>
      <c r="F243" s="1">
        <v>76</v>
      </c>
      <c r="G243" s="1">
        <v>76</v>
      </c>
      <c r="H243" s="1">
        <v>83</v>
      </c>
      <c r="I243" s="1">
        <f t="shared" si="9"/>
        <v>78.333333333333329</v>
      </c>
      <c r="J243" t="str">
        <f t="shared" si="10"/>
        <v>Good</v>
      </c>
      <c r="K243" t="str">
        <f t="shared" si="11"/>
        <v>Pass</v>
      </c>
    </row>
    <row r="244" spans="1:11" x14ac:dyDescent="0.25">
      <c r="A244" t="s">
        <v>8</v>
      </c>
      <c r="B244" t="s">
        <v>14</v>
      </c>
      <c r="C244" t="s">
        <v>15</v>
      </c>
      <c r="D244" t="s">
        <v>11</v>
      </c>
      <c r="E244" t="s">
        <v>17</v>
      </c>
      <c r="F244" s="1">
        <v>66</v>
      </c>
      <c r="G244" s="1">
        <v>64</v>
      </c>
      <c r="H244" s="1">
        <v>58</v>
      </c>
      <c r="I244" s="1">
        <f t="shared" si="9"/>
        <v>62.666666666666664</v>
      </c>
      <c r="J244" t="str">
        <f t="shared" si="10"/>
        <v>Good</v>
      </c>
      <c r="K244" t="str">
        <f t="shared" si="11"/>
        <v>Pass</v>
      </c>
    </row>
    <row r="245" spans="1:11" x14ac:dyDescent="0.25">
      <c r="A245" t="s">
        <v>8</v>
      </c>
      <c r="B245" t="s">
        <v>23</v>
      </c>
      <c r="C245" t="s">
        <v>19</v>
      </c>
      <c r="D245" t="s">
        <v>11</v>
      </c>
      <c r="E245" t="s">
        <v>17</v>
      </c>
      <c r="F245" s="1">
        <v>63</v>
      </c>
      <c r="G245" s="1">
        <v>65</v>
      </c>
      <c r="H245" s="1">
        <v>63</v>
      </c>
      <c r="I245" s="1">
        <f t="shared" si="9"/>
        <v>63.666666666666664</v>
      </c>
      <c r="J245" t="str">
        <f t="shared" si="10"/>
        <v>Good</v>
      </c>
      <c r="K245" t="str">
        <f t="shared" si="11"/>
        <v>Pass</v>
      </c>
    </row>
    <row r="246" spans="1:11" x14ac:dyDescent="0.25">
      <c r="A246" t="s">
        <v>8</v>
      </c>
      <c r="B246" t="s">
        <v>20</v>
      </c>
      <c r="C246" t="s">
        <v>15</v>
      </c>
      <c r="D246" t="s">
        <v>11</v>
      </c>
      <c r="E246" t="s">
        <v>17</v>
      </c>
      <c r="F246" s="1">
        <v>36</v>
      </c>
      <c r="G246" s="1">
        <v>34</v>
      </c>
      <c r="H246" s="1">
        <v>28</v>
      </c>
      <c r="I246" s="1">
        <f t="shared" si="9"/>
        <v>32.666666666666664</v>
      </c>
      <c r="J246" t="str">
        <f t="shared" si="10"/>
        <v>Poor</v>
      </c>
      <c r="K246" t="str">
        <f t="shared" si="11"/>
        <v>Fail</v>
      </c>
    </row>
    <row r="247" spans="1:11" x14ac:dyDescent="0.25">
      <c r="A247" t="s">
        <v>8</v>
      </c>
      <c r="B247" t="s">
        <v>23</v>
      </c>
      <c r="C247" t="s">
        <v>10</v>
      </c>
      <c r="D247" t="s">
        <v>11</v>
      </c>
      <c r="E247" t="s">
        <v>17</v>
      </c>
      <c r="F247" s="1">
        <v>68</v>
      </c>
      <c r="G247" s="1">
        <v>74</v>
      </c>
      <c r="H247" s="1">
        <v>71</v>
      </c>
      <c r="I247" s="1">
        <f t="shared" si="9"/>
        <v>71</v>
      </c>
      <c r="J247" t="str">
        <f t="shared" si="10"/>
        <v>Good</v>
      </c>
      <c r="K247" t="str">
        <f t="shared" si="11"/>
        <v>Pass</v>
      </c>
    </row>
    <row r="248" spans="1:11" x14ac:dyDescent="0.25">
      <c r="A248" t="s">
        <v>13</v>
      </c>
      <c r="B248" t="s">
        <v>23</v>
      </c>
      <c r="C248" t="s">
        <v>15</v>
      </c>
      <c r="D248" t="s">
        <v>16</v>
      </c>
      <c r="E248" t="s">
        <v>12</v>
      </c>
      <c r="F248" s="1">
        <v>40</v>
      </c>
      <c r="G248" s="1">
        <v>52</v>
      </c>
      <c r="H248" s="1">
        <v>42</v>
      </c>
      <c r="I248" s="1">
        <f t="shared" si="9"/>
        <v>44.666666666666664</v>
      </c>
      <c r="J248" t="str">
        <f t="shared" si="10"/>
        <v>Average</v>
      </c>
      <c r="K248" t="str">
        <f t="shared" si="11"/>
        <v>Pass</v>
      </c>
    </row>
    <row r="249" spans="1:11" x14ac:dyDescent="0.25">
      <c r="A249" t="s">
        <v>8</v>
      </c>
      <c r="B249" t="s">
        <v>14</v>
      </c>
      <c r="C249" t="s">
        <v>15</v>
      </c>
      <c r="D249" t="s">
        <v>11</v>
      </c>
      <c r="E249" t="s">
        <v>17</v>
      </c>
      <c r="F249" s="1">
        <v>68</v>
      </c>
      <c r="G249" s="1">
        <v>71</v>
      </c>
      <c r="H249" s="1">
        <v>61</v>
      </c>
      <c r="I249" s="1">
        <f t="shared" si="9"/>
        <v>66.666666666666671</v>
      </c>
      <c r="J249" t="str">
        <f t="shared" si="10"/>
        <v>Good</v>
      </c>
      <c r="K249" t="str">
        <f t="shared" si="11"/>
        <v>Pass</v>
      </c>
    </row>
    <row r="250" spans="1:11" x14ac:dyDescent="0.25">
      <c r="A250" t="s">
        <v>8</v>
      </c>
      <c r="B250" t="s">
        <v>23</v>
      </c>
      <c r="C250" t="s">
        <v>21</v>
      </c>
      <c r="D250" t="s">
        <v>11</v>
      </c>
      <c r="E250" t="s">
        <v>12</v>
      </c>
      <c r="F250" s="1">
        <v>56</v>
      </c>
      <c r="G250" s="1">
        <v>54</v>
      </c>
      <c r="H250" s="1">
        <v>52</v>
      </c>
      <c r="I250" s="1">
        <f t="shared" si="9"/>
        <v>54</v>
      </c>
      <c r="J250" t="str">
        <f t="shared" si="10"/>
        <v>Average</v>
      </c>
      <c r="K250" t="str">
        <f t="shared" si="11"/>
        <v>Pass</v>
      </c>
    </row>
    <row r="251" spans="1:11" x14ac:dyDescent="0.25">
      <c r="A251" t="s">
        <v>13</v>
      </c>
      <c r="B251" t="s">
        <v>14</v>
      </c>
      <c r="C251" t="s">
        <v>21</v>
      </c>
      <c r="D251" t="s">
        <v>16</v>
      </c>
      <c r="E251" t="s">
        <v>17</v>
      </c>
      <c r="F251" s="1">
        <v>74</v>
      </c>
      <c r="G251" s="1">
        <v>83</v>
      </c>
      <c r="H251" s="1">
        <v>80</v>
      </c>
      <c r="I251" s="1">
        <f t="shared" si="9"/>
        <v>79</v>
      </c>
      <c r="J251" t="str">
        <f t="shared" si="10"/>
        <v>Good</v>
      </c>
      <c r="K251" t="str">
        <f t="shared" si="11"/>
        <v>Pass</v>
      </c>
    </row>
    <row r="252" spans="1:11" x14ac:dyDescent="0.25">
      <c r="A252" t="s">
        <v>13</v>
      </c>
      <c r="B252" t="s">
        <v>14</v>
      </c>
      <c r="C252" t="s">
        <v>19</v>
      </c>
      <c r="D252" t="s">
        <v>16</v>
      </c>
      <c r="E252" t="s">
        <v>17</v>
      </c>
      <c r="F252" s="1">
        <v>53</v>
      </c>
      <c r="G252" s="1">
        <v>70</v>
      </c>
      <c r="H252" s="1">
        <v>71</v>
      </c>
      <c r="I252" s="1">
        <f t="shared" si="9"/>
        <v>64.666666666666671</v>
      </c>
      <c r="J252" t="str">
        <f t="shared" si="10"/>
        <v>Good</v>
      </c>
      <c r="K252" t="str">
        <f t="shared" si="11"/>
        <v>Pass</v>
      </c>
    </row>
    <row r="253" spans="1:11" x14ac:dyDescent="0.25">
      <c r="A253" t="s">
        <v>8</v>
      </c>
      <c r="B253" t="s">
        <v>20</v>
      </c>
      <c r="C253" t="s">
        <v>15</v>
      </c>
      <c r="D253" t="s">
        <v>11</v>
      </c>
      <c r="E253" t="s">
        <v>17</v>
      </c>
      <c r="F253" s="1">
        <v>88</v>
      </c>
      <c r="G253" s="1">
        <v>65</v>
      </c>
      <c r="H253" s="1">
        <v>70</v>
      </c>
      <c r="I253" s="1">
        <f t="shared" si="9"/>
        <v>74.333333333333329</v>
      </c>
      <c r="J253" t="str">
        <f t="shared" si="10"/>
        <v>Good</v>
      </c>
      <c r="K253" t="str">
        <f t="shared" si="11"/>
        <v>Pass</v>
      </c>
    </row>
    <row r="254" spans="1:11" x14ac:dyDescent="0.25">
      <c r="A254" t="s">
        <v>8</v>
      </c>
      <c r="B254" t="s">
        <v>14</v>
      </c>
      <c r="C254" t="s">
        <v>15</v>
      </c>
      <c r="D254" t="s">
        <v>11</v>
      </c>
      <c r="E254" t="s">
        <v>17</v>
      </c>
      <c r="F254" s="1">
        <v>67</v>
      </c>
      <c r="G254" s="1">
        <v>63</v>
      </c>
      <c r="H254" s="1">
        <v>61</v>
      </c>
      <c r="I254" s="1">
        <f t="shared" si="9"/>
        <v>63.666666666666664</v>
      </c>
      <c r="J254" t="str">
        <f t="shared" si="10"/>
        <v>Good</v>
      </c>
      <c r="K254" t="str">
        <f t="shared" si="11"/>
        <v>Pass</v>
      </c>
    </row>
    <row r="255" spans="1:11" x14ac:dyDescent="0.25">
      <c r="A255" t="s">
        <v>13</v>
      </c>
      <c r="B255" t="s">
        <v>20</v>
      </c>
      <c r="C255" t="s">
        <v>21</v>
      </c>
      <c r="D255" t="s">
        <v>11</v>
      </c>
      <c r="E255" t="s">
        <v>17</v>
      </c>
      <c r="F255" s="1">
        <v>60</v>
      </c>
      <c r="G255" s="1">
        <v>76</v>
      </c>
      <c r="H255" s="1">
        <v>65</v>
      </c>
      <c r="I255" s="1">
        <f t="shared" si="9"/>
        <v>67</v>
      </c>
      <c r="J255" t="str">
        <f t="shared" si="10"/>
        <v>Good</v>
      </c>
      <c r="K255" t="str">
        <f t="shared" si="11"/>
        <v>Pass</v>
      </c>
    </row>
    <row r="256" spans="1:11" x14ac:dyDescent="0.25">
      <c r="A256" t="s">
        <v>13</v>
      </c>
      <c r="B256" t="s">
        <v>23</v>
      </c>
      <c r="C256" t="s">
        <v>10</v>
      </c>
      <c r="D256" t="s">
        <v>16</v>
      </c>
      <c r="E256" t="s">
        <v>17</v>
      </c>
      <c r="F256" s="1">
        <v>51</v>
      </c>
      <c r="G256" s="1">
        <v>61</v>
      </c>
      <c r="H256" s="1">
        <v>54</v>
      </c>
      <c r="I256" s="1">
        <f t="shared" si="9"/>
        <v>55.333333333333336</v>
      </c>
      <c r="J256" t="str">
        <f t="shared" si="10"/>
        <v>Average</v>
      </c>
      <c r="K256" t="str">
        <f t="shared" si="11"/>
        <v>Pass</v>
      </c>
    </row>
    <row r="257" spans="1:11" x14ac:dyDescent="0.25">
      <c r="A257" t="s">
        <v>13</v>
      </c>
      <c r="B257" t="s">
        <v>14</v>
      </c>
      <c r="C257" t="s">
        <v>15</v>
      </c>
      <c r="D257" t="s">
        <v>11</v>
      </c>
      <c r="E257" t="s">
        <v>17</v>
      </c>
      <c r="F257" s="1">
        <v>53</v>
      </c>
      <c r="G257" s="1">
        <v>66</v>
      </c>
      <c r="H257" s="1">
        <v>59</v>
      </c>
      <c r="I257" s="1">
        <f t="shared" si="9"/>
        <v>59.333333333333336</v>
      </c>
      <c r="J257" t="str">
        <f t="shared" si="10"/>
        <v>Average</v>
      </c>
      <c r="K257" t="str">
        <f t="shared" si="11"/>
        <v>Pass</v>
      </c>
    </row>
    <row r="258" spans="1:11" x14ac:dyDescent="0.25">
      <c r="A258" t="s">
        <v>8</v>
      </c>
      <c r="B258" t="s">
        <v>9</v>
      </c>
      <c r="C258" t="s">
        <v>22</v>
      </c>
      <c r="D258" t="s">
        <v>11</v>
      </c>
      <c r="E258" t="s">
        <v>17</v>
      </c>
      <c r="F258" s="1">
        <v>80</v>
      </c>
      <c r="G258" s="1">
        <v>78</v>
      </c>
      <c r="H258" s="1">
        <v>74</v>
      </c>
      <c r="I258" s="1">
        <f t="shared" ref="I258:I321" si="12">AVERAGE(F258:H258)</f>
        <v>77.333333333333329</v>
      </c>
      <c r="J258" t="str">
        <f t="shared" ref="J258:J321" si="13">IF(I258&gt;=80,"Excellent", IF(I258&gt;=60,"Good", IF(I258&gt;=40,"Average","Poor")))</f>
        <v>Good</v>
      </c>
      <c r="K258" t="str">
        <f t="shared" ref="K258:K321" si="14">IF(I258&gt;=40, "Pass","Fail")</f>
        <v>Pass</v>
      </c>
    </row>
    <row r="259" spans="1:11" x14ac:dyDescent="0.25">
      <c r="A259" t="s">
        <v>13</v>
      </c>
      <c r="B259" t="s">
        <v>18</v>
      </c>
      <c r="C259" t="s">
        <v>15</v>
      </c>
      <c r="D259" t="s">
        <v>11</v>
      </c>
      <c r="E259" t="s">
        <v>17</v>
      </c>
      <c r="F259" s="1">
        <v>69</v>
      </c>
      <c r="G259" s="1">
        <v>71</v>
      </c>
      <c r="H259" s="1">
        <v>67</v>
      </c>
      <c r="I259" s="1">
        <f t="shared" si="12"/>
        <v>69</v>
      </c>
      <c r="J259" t="str">
        <f t="shared" si="13"/>
        <v>Good</v>
      </c>
      <c r="K259" t="str">
        <f t="shared" si="14"/>
        <v>Pass</v>
      </c>
    </row>
    <row r="260" spans="1:11" x14ac:dyDescent="0.25">
      <c r="A260" t="s">
        <v>13</v>
      </c>
      <c r="B260" t="s">
        <v>20</v>
      </c>
      <c r="C260" t="s">
        <v>15</v>
      </c>
      <c r="D260" t="s">
        <v>16</v>
      </c>
      <c r="E260" t="s">
        <v>17</v>
      </c>
      <c r="F260" s="1">
        <v>64</v>
      </c>
      <c r="G260" s="1">
        <v>79</v>
      </c>
      <c r="H260" s="1">
        <v>70</v>
      </c>
      <c r="I260" s="1">
        <f t="shared" si="12"/>
        <v>71</v>
      </c>
      <c r="J260" t="str">
        <f t="shared" si="13"/>
        <v>Good</v>
      </c>
      <c r="K260" t="str">
        <f t="shared" si="14"/>
        <v>Pass</v>
      </c>
    </row>
    <row r="261" spans="1:11" x14ac:dyDescent="0.25">
      <c r="A261" t="s">
        <v>13</v>
      </c>
      <c r="B261" t="s">
        <v>14</v>
      </c>
      <c r="C261" t="s">
        <v>21</v>
      </c>
      <c r="D261" t="s">
        <v>16</v>
      </c>
      <c r="E261" t="s">
        <v>12</v>
      </c>
      <c r="F261" s="1">
        <v>80</v>
      </c>
      <c r="G261" s="1">
        <v>87</v>
      </c>
      <c r="H261" s="1">
        <v>89</v>
      </c>
      <c r="I261" s="1">
        <f t="shared" si="12"/>
        <v>85.333333333333329</v>
      </c>
      <c r="J261" t="str">
        <f t="shared" si="13"/>
        <v>Excellent</v>
      </c>
      <c r="K261" t="str">
        <f t="shared" si="14"/>
        <v>Pass</v>
      </c>
    </row>
    <row r="262" spans="1:11" x14ac:dyDescent="0.25">
      <c r="A262" t="s">
        <v>13</v>
      </c>
      <c r="B262" t="s">
        <v>9</v>
      </c>
      <c r="C262" t="s">
        <v>15</v>
      </c>
      <c r="D262" t="s">
        <v>11</v>
      </c>
      <c r="E262" t="s">
        <v>17</v>
      </c>
      <c r="F262" s="1">
        <v>58</v>
      </c>
      <c r="G262" s="1">
        <v>72</v>
      </c>
      <c r="H262" s="1">
        <v>62</v>
      </c>
      <c r="I262" s="1">
        <f t="shared" si="12"/>
        <v>64</v>
      </c>
      <c r="J262" t="str">
        <f t="shared" si="13"/>
        <v>Good</v>
      </c>
      <c r="K262" t="str">
        <f t="shared" si="14"/>
        <v>Pass</v>
      </c>
    </row>
    <row r="263" spans="1:11" x14ac:dyDescent="0.25">
      <c r="A263" t="s">
        <v>13</v>
      </c>
      <c r="B263" t="s">
        <v>23</v>
      </c>
      <c r="C263" t="s">
        <v>10</v>
      </c>
      <c r="D263" t="s">
        <v>11</v>
      </c>
      <c r="E263" t="s">
        <v>17</v>
      </c>
      <c r="F263" s="1">
        <v>39</v>
      </c>
      <c r="G263" s="1">
        <v>46</v>
      </c>
      <c r="H263" s="1">
        <v>50</v>
      </c>
      <c r="I263" s="1">
        <f t="shared" si="12"/>
        <v>45</v>
      </c>
      <c r="J263" t="str">
        <f t="shared" si="13"/>
        <v>Average</v>
      </c>
      <c r="K263" t="str">
        <f t="shared" si="14"/>
        <v>Pass</v>
      </c>
    </row>
    <row r="264" spans="1:11" x14ac:dyDescent="0.25">
      <c r="A264" t="s">
        <v>8</v>
      </c>
      <c r="B264" t="s">
        <v>14</v>
      </c>
      <c r="C264" t="s">
        <v>15</v>
      </c>
      <c r="D264" t="s">
        <v>11</v>
      </c>
      <c r="E264" t="s">
        <v>17</v>
      </c>
      <c r="F264" s="1">
        <v>64</v>
      </c>
      <c r="G264" s="1">
        <v>56</v>
      </c>
      <c r="H264" s="1">
        <v>50</v>
      </c>
      <c r="I264" s="1">
        <f t="shared" si="12"/>
        <v>56.666666666666664</v>
      </c>
      <c r="J264" t="str">
        <f t="shared" si="13"/>
        <v>Average</v>
      </c>
      <c r="K264" t="str">
        <f t="shared" si="14"/>
        <v>Pass</v>
      </c>
    </row>
    <row r="265" spans="1:11" x14ac:dyDescent="0.25">
      <c r="A265" t="s">
        <v>8</v>
      </c>
      <c r="B265" t="s">
        <v>14</v>
      </c>
      <c r="C265" t="s">
        <v>21</v>
      </c>
      <c r="D265" t="s">
        <v>11</v>
      </c>
      <c r="E265" t="s">
        <v>17</v>
      </c>
      <c r="F265" s="1">
        <v>61</v>
      </c>
      <c r="G265" s="1">
        <v>66</v>
      </c>
      <c r="H265" s="1">
        <v>63</v>
      </c>
      <c r="I265" s="1">
        <f t="shared" si="12"/>
        <v>63.333333333333336</v>
      </c>
      <c r="J265" t="str">
        <f t="shared" si="13"/>
        <v>Good</v>
      </c>
      <c r="K265" t="str">
        <f t="shared" si="14"/>
        <v>Pass</v>
      </c>
    </row>
    <row r="266" spans="1:11" x14ac:dyDescent="0.25">
      <c r="A266" t="s">
        <v>8</v>
      </c>
      <c r="B266" t="s">
        <v>14</v>
      </c>
      <c r="C266" t="s">
        <v>15</v>
      </c>
      <c r="D266" t="s">
        <v>11</v>
      </c>
      <c r="E266" t="s">
        <v>12</v>
      </c>
      <c r="F266" s="1">
        <v>90</v>
      </c>
      <c r="G266" s="1">
        <v>82</v>
      </c>
      <c r="H266" s="1">
        <v>88</v>
      </c>
      <c r="I266" s="1">
        <f t="shared" si="12"/>
        <v>86.666666666666671</v>
      </c>
      <c r="J266" t="str">
        <f t="shared" si="13"/>
        <v>Excellent</v>
      </c>
      <c r="K266" t="str">
        <f t="shared" si="14"/>
        <v>Pass</v>
      </c>
    </row>
    <row r="267" spans="1:11" x14ac:dyDescent="0.25">
      <c r="A267" t="s">
        <v>8</v>
      </c>
      <c r="B267" t="s">
        <v>14</v>
      </c>
      <c r="C267" t="s">
        <v>15</v>
      </c>
      <c r="D267" t="s">
        <v>11</v>
      </c>
      <c r="E267" t="s">
        <v>17</v>
      </c>
      <c r="F267" s="1">
        <v>73</v>
      </c>
      <c r="G267" s="1">
        <v>71</v>
      </c>
      <c r="H267" s="1">
        <v>64</v>
      </c>
      <c r="I267" s="1">
        <f t="shared" si="12"/>
        <v>69.333333333333329</v>
      </c>
      <c r="J267" t="str">
        <f t="shared" si="13"/>
        <v>Good</v>
      </c>
      <c r="K267" t="str">
        <f t="shared" si="14"/>
        <v>Pass</v>
      </c>
    </row>
    <row r="268" spans="1:11" x14ac:dyDescent="0.25">
      <c r="A268" t="s">
        <v>8</v>
      </c>
      <c r="B268" t="s">
        <v>23</v>
      </c>
      <c r="C268" t="s">
        <v>21</v>
      </c>
      <c r="D268" t="s">
        <v>11</v>
      </c>
      <c r="E268" t="s">
        <v>17</v>
      </c>
      <c r="F268" s="1">
        <v>73</v>
      </c>
      <c r="G268" s="1">
        <v>73</v>
      </c>
      <c r="H268" s="1">
        <v>70</v>
      </c>
      <c r="I268" s="1">
        <f t="shared" si="12"/>
        <v>72</v>
      </c>
      <c r="J268" t="str">
        <f t="shared" si="13"/>
        <v>Good</v>
      </c>
      <c r="K268" t="str">
        <f t="shared" si="14"/>
        <v>Pass</v>
      </c>
    </row>
    <row r="269" spans="1:11" x14ac:dyDescent="0.25">
      <c r="A269" t="s">
        <v>13</v>
      </c>
      <c r="B269" t="s">
        <v>14</v>
      </c>
      <c r="C269" t="s">
        <v>21</v>
      </c>
      <c r="D269" t="s">
        <v>11</v>
      </c>
      <c r="E269" t="s">
        <v>17</v>
      </c>
      <c r="F269" s="1">
        <v>67</v>
      </c>
      <c r="G269" s="1">
        <v>76</v>
      </c>
      <c r="H269" s="1">
        <v>77</v>
      </c>
      <c r="I269" s="1">
        <f t="shared" si="12"/>
        <v>73.333333333333329</v>
      </c>
      <c r="J269" t="str">
        <f t="shared" si="13"/>
        <v>Good</v>
      </c>
      <c r="K269" t="str">
        <f t="shared" si="14"/>
        <v>Pass</v>
      </c>
    </row>
    <row r="270" spans="1:11" x14ac:dyDescent="0.25">
      <c r="A270" t="s">
        <v>13</v>
      </c>
      <c r="B270" t="s">
        <v>20</v>
      </c>
      <c r="C270" t="s">
        <v>19</v>
      </c>
      <c r="D270" t="s">
        <v>11</v>
      </c>
      <c r="E270" t="s">
        <v>17</v>
      </c>
      <c r="F270" s="1">
        <v>57</v>
      </c>
      <c r="G270" s="1">
        <v>58</v>
      </c>
      <c r="H270" s="1">
        <v>62</v>
      </c>
      <c r="I270" s="1">
        <f t="shared" si="12"/>
        <v>59</v>
      </c>
      <c r="J270" t="str">
        <f t="shared" si="13"/>
        <v>Average</v>
      </c>
      <c r="K270" t="str">
        <f t="shared" si="14"/>
        <v>Pass</v>
      </c>
    </row>
    <row r="271" spans="1:11" x14ac:dyDescent="0.25">
      <c r="A271" t="s">
        <v>13</v>
      </c>
      <c r="B271" t="s">
        <v>18</v>
      </c>
      <c r="C271" t="s">
        <v>19</v>
      </c>
      <c r="D271" t="s">
        <v>11</v>
      </c>
      <c r="E271" t="s">
        <v>17</v>
      </c>
      <c r="F271" s="1">
        <v>65</v>
      </c>
      <c r="G271" s="1">
        <v>73</v>
      </c>
      <c r="H271" s="1">
        <v>72</v>
      </c>
      <c r="I271" s="1">
        <f t="shared" si="12"/>
        <v>70</v>
      </c>
      <c r="J271" t="str">
        <f t="shared" si="13"/>
        <v>Good</v>
      </c>
      <c r="K271" t="str">
        <f t="shared" si="14"/>
        <v>Pass</v>
      </c>
    </row>
    <row r="272" spans="1:11" x14ac:dyDescent="0.25">
      <c r="A272" t="s">
        <v>13</v>
      </c>
      <c r="B272" t="s">
        <v>23</v>
      </c>
      <c r="C272" t="s">
        <v>15</v>
      </c>
      <c r="D272" t="s">
        <v>11</v>
      </c>
      <c r="E272" t="s">
        <v>17</v>
      </c>
      <c r="F272" s="1">
        <v>71</v>
      </c>
      <c r="G272" s="1">
        <v>72</v>
      </c>
      <c r="H272" s="1">
        <v>71</v>
      </c>
      <c r="I272" s="1">
        <f t="shared" si="12"/>
        <v>71.333333333333329</v>
      </c>
      <c r="J272" t="str">
        <f t="shared" si="13"/>
        <v>Good</v>
      </c>
      <c r="K272" t="str">
        <f t="shared" si="14"/>
        <v>Pass</v>
      </c>
    </row>
    <row r="273" spans="1:11" x14ac:dyDescent="0.25">
      <c r="A273" t="s">
        <v>13</v>
      </c>
      <c r="B273" t="s">
        <v>14</v>
      </c>
      <c r="C273" t="s">
        <v>15</v>
      </c>
      <c r="D273" t="s">
        <v>11</v>
      </c>
      <c r="E273" t="s">
        <v>17</v>
      </c>
      <c r="F273" s="1">
        <v>59</v>
      </c>
      <c r="G273" s="1">
        <v>69</v>
      </c>
      <c r="H273" s="1">
        <v>72</v>
      </c>
      <c r="I273" s="1">
        <f t="shared" si="12"/>
        <v>66.666666666666671</v>
      </c>
      <c r="J273" t="str">
        <f t="shared" si="13"/>
        <v>Good</v>
      </c>
      <c r="K273" t="str">
        <f t="shared" si="14"/>
        <v>Pass</v>
      </c>
    </row>
    <row r="274" spans="1:11" x14ac:dyDescent="0.25">
      <c r="A274" t="s">
        <v>8</v>
      </c>
      <c r="B274" t="s">
        <v>20</v>
      </c>
      <c r="C274" t="s">
        <v>10</v>
      </c>
      <c r="D274" t="s">
        <v>11</v>
      </c>
      <c r="E274" t="s">
        <v>12</v>
      </c>
      <c r="F274" s="1">
        <v>74</v>
      </c>
      <c r="G274" s="1">
        <v>71</v>
      </c>
      <c r="H274" s="1">
        <v>65</v>
      </c>
      <c r="I274" s="1">
        <f t="shared" si="12"/>
        <v>70</v>
      </c>
      <c r="J274" t="str">
        <f t="shared" si="13"/>
        <v>Good</v>
      </c>
      <c r="K274" t="str">
        <f t="shared" si="14"/>
        <v>Pass</v>
      </c>
    </row>
    <row r="275" spans="1:11" x14ac:dyDescent="0.25">
      <c r="A275" t="s">
        <v>13</v>
      </c>
      <c r="B275" t="s">
        <v>18</v>
      </c>
      <c r="C275" t="s">
        <v>10</v>
      </c>
      <c r="D275" t="s">
        <v>11</v>
      </c>
      <c r="E275" t="s">
        <v>17</v>
      </c>
      <c r="F275" s="1">
        <v>93</v>
      </c>
      <c r="G275" s="1">
        <v>100</v>
      </c>
      <c r="H275" s="1">
        <v>93</v>
      </c>
      <c r="I275" s="1">
        <f t="shared" si="12"/>
        <v>95.333333333333329</v>
      </c>
      <c r="J275" t="str">
        <f t="shared" si="13"/>
        <v>Excellent</v>
      </c>
      <c r="K275" t="str">
        <f t="shared" si="14"/>
        <v>Pass</v>
      </c>
    </row>
    <row r="276" spans="1:11" x14ac:dyDescent="0.25">
      <c r="A276" t="s">
        <v>13</v>
      </c>
      <c r="B276" t="s">
        <v>20</v>
      </c>
      <c r="C276" t="s">
        <v>15</v>
      </c>
      <c r="D276" t="s">
        <v>11</v>
      </c>
      <c r="E276" t="s">
        <v>12</v>
      </c>
      <c r="F276" s="1">
        <v>85</v>
      </c>
      <c r="G276" s="1">
        <v>93</v>
      </c>
      <c r="H276" s="1">
        <v>92</v>
      </c>
      <c r="I276" s="1">
        <f t="shared" si="12"/>
        <v>90</v>
      </c>
      <c r="J276" t="str">
        <f t="shared" si="13"/>
        <v>Excellent</v>
      </c>
      <c r="K276" t="str">
        <f t="shared" si="14"/>
        <v>Pass</v>
      </c>
    </row>
    <row r="277" spans="1:11" x14ac:dyDescent="0.25">
      <c r="A277" t="s">
        <v>13</v>
      </c>
      <c r="B277" t="s">
        <v>18</v>
      </c>
      <c r="C277" t="s">
        <v>15</v>
      </c>
      <c r="D277" t="s">
        <v>11</v>
      </c>
      <c r="E277" t="s">
        <v>17</v>
      </c>
      <c r="F277" s="1">
        <v>76</v>
      </c>
      <c r="G277" s="1">
        <v>83</v>
      </c>
      <c r="H277" s="1">
        <v>79</v>
      </c>
      <c r="I277" s="1">
        <f t="shared" si="12"/>
        <v>79.333333333333329</v>
      </c>
      <c r="J277" t="str">
        <f t="shared" si="13"/>
        <v>Good</v>
      </c>
      <c r="K277" t="str">
        <f t="shared" si="14"/>
        <v>Pass</v>
      </c>
    </row>
    <row r="278" spans="1:11" x14ac:dyDescent="0.25">
      <c r="A278" t="s">
        <v>13</v>
      </c>
      <c r="B278" t="s">
        <v>14</v>
      </c>
      <c r="C278" t="s">
        <v>10</v>
      </c>
      <c r="D278" t="s">
        <v>16</v>
      </c>
      <c r="E278" t="s">
        <v>17</v>
      </c>
      <c r="F278" s="1">
        <v>58</v>
      </c>
      <c r="G278" s="1">
        <v>72</v>
      </c>
      <c r="H278" s="1">
        <v>70</v>
      </c>
      <c r="I278" s="1">
        <f t="shared" si="12"/>
        <v>66.666666666666671</v>
      </c>
      <c r="J278" t="str">
        <f t="shared" si="13"/>
        <v>Good</v>
      </c>
      <c r="K278" t="str">
        <f t="shared" si="14"/>
        <v>Pass</v>
      </c>
    </row>
    <row r="279" spans="1:11" x14ac:dyDescent="0.25">
      <c r="A279" t="s">
        <v>13</v>
      </c>
      <c r="B279" t="s">
        <v>18</v>
      </c>
      <c r="C279" t="s">
        <v>21</v>
      </c>
      <c r="D279" t="s">
        <v>11</v>
      </c>
      <c r="E279" t="s">
        <v>17</v>
      </c>
      <c r="F279" s="1">
        <v>72</v>
      </c>
      <c r="G279" s="1">
        <v>77</v>
      </c>
      <c r="H279" s="1">
        <v>77</v>
      </c>
      <c r="I279" s="1">
        <f t="shared" si="12"/>
        <v>75.333333333333329</v>
      </c>
      <c r="J279" t="str">
        <f t="shared" si="13"/>
        <v>Good</v>
      </c>
      <c r="K279" t="str">
        <f t="shared" si="14"/>
        <v>Pass</v>
      </c>
    </row>
    <row r="280" spans="1:11" x14ac:dyDescent="0.25">
      <c r="A280" t="s">
        <v>13</v>
      </c>
      <c r="B280" t="s">
        <v>20</v>
      </c>
      <c r="C280" t="s">
        <v>10</v>
      </c>
      <c r="D280" t="s">
        <v>11</v>
      </c>
      <c r="E280" t="s">
        <v>17</v>
      </c>
      <c r="F280" s="1">
        <v>40</v>
      </c>
      <c r="G280" s="1">
        <v>49</v>
      </c>
      <c r="H280" s="1">
        <v>47</v>
      </c>
      <c r="I280" s="1">
        <f t="shared" si="12"/>
        <v>45.333333333333336</v>
      </c>
      <c r="J280" t="str">
        <f t="shared" si="13"/>
        <v>Average</v>
      </c>
      <c r="K280" t="str">
        <f t="shared" si="14"/>
        <v>Pass</v>
      </c>
    </row>
    <row r="281" spans="1:11" x14ac:dyDescent="0.25">
      <c r="A281" t="s">
        <v>8</v>
      </c>
      <c r="B281" t="s">
        <v>14</v>
      </c>
      <c r="C281" t="s">
        <v>10</v>
      </c>
      <c r="D281" t="s">
        <v>11</v>
      </c>
      <c r="E281" t="s">
        <v>12</v>
      </c>
      <c r="F281" s="1">
        <v>75</v>
      </c>
      <c r="G281" s="1">
        <v>73</v>
      </c>
      <c r="H281" s="1">
        <v>66</v>
      </c>
      <c r="I281" s="1">
        <f t="shared" si="12"/>
        <v>71.333333333333329</v>
      </c>
      <c r="J281" t="str">
        <f t="shared" si="13"/>
        <v>Good</v>
      </c>
      <c r="K281" t="str">
        <f t="shared" si="14"/>
        <v>Pass</v>
      </c>
    </row>
    <row r="282" spans="1:11" x14ac:dyDescent="0.25">
      <c r="A282" t="s">
        <v>8</v>
      </c>
      <c r="B282" t="s">
        <v>14</v>
      </c>
      <c r="C282" t="s">
        <v>15</v>
      </c>
      <c r="D282" t="s">
        <v>11</v>
      </c>
      <c r="E282" t="s">
        <v>17</v>
      </c>
      <c r="F282" s="1">
        <v>85</v>
      </c>
      <c r="G282" s="1">
        <v>81</v>
      </c>
      <c r="H282" s="1">
        <v>80</v>
      </c>
      <c r="I282" s="1">
        <f t="shared" si="12"/>
        <v>82</v>
      </c>
      <c r="J282" t="str">
        <f t="shared" si="13"/>
        <v>Excellent</v>
      </c>
      <c r="K282" t="str">
        <f t="shared" si="14"/>
        <v>Pass</v>
      </c>
    </row>
    <row r="283" spans="1:11" x14ac:dyDescent="0.25">
      <c r="A283" t="s">
        <v>8</v>
      </c>
      <c r="B283" t="s">
        <v>18</v>
      </c>
      <c r="C283" t="s">
        <v>21</v>
      </c>
      <c r="D283" t="s">
        <v>11</v>
      </c>
      <c r="E283" t="s">
        <v>12</v>
      </c>
      <c r="F283" s="1">
        <v>100</v>
      </c>
      <c r="G283" s="1">
        <v>100</v>
      </c>
      <c r="H283" s="1">
        <v>100</v>
      </c>
      <c r="I283" s="1">
        <f t="shared" si="12"/>
        <v>100</v>
      </c>
      <c r="J283" t="str">
        <f t="shared" si="13"/>
        <v>Excellent</v>
      </c>
      <c r="K283" t="str">
        <f t="shared" si="14"/>
        <v>Pass</v>
      </c>
    </row>
    <row r="284" spans="1:11" x14ac:dyDescent="0.25">
      <c r="A284" t="s">
        <v>13</v>
      </c>
      <c r="B284" t="s">
        <v>20</v>
      </c>
      <c r="C284" t="s">
        <v>19</v>
      </c>
      <c r="D284" t="s">
        <v>16</v>
      </c>
      <c r="E284" t="s">
        <v>12</v>
      </c>
      <c r="F284" s="1">
        <v>53</v>
      </c>
      <c r="G284" s="1">
        <v>65</v>
      </c>
      <c r="H284" s="1">
        <v>66</v>
      </c>
      <c r="I284" s="1">
        <f t="shared" si="12"/>
        <v>61.333333333333336</v>
      </c>
      <c r="J284" t="str">
        <f t="shared" si="13"/>
        <v>Good</v>
      </c>
      <c r="K284" t="str">
        <f t="shared" si="14"/>
        <v>Pass</v>
      </c>
    </row>
    <row r="285" spans="1:11" x14ac:dyDescent="0.25">
      <c r="A285" t="s">
        <v>8</v>
      </c>
      <c r="B285" t="s">
        <v>14</v>
      </c>
      <c r="C285" t="s">
        <v>19</v>
      </c>
      <c r="D285" t="s">
        <v>16</v>
      </c>
      <c r="E285" t="s">
        <v>17</v>
      </c>
      <c r="F285" s="1">
        <v>40</v>
      </c>
      <c r="G285" s="1">
        <v>42</v>
      </c>
      <c r="H285" s="1">
        <v>39</v>
      </c>
      <c r="I285" s="1">
        <f t="shared" si="12"/>
        <v>40.333333333333336</v>
      </c>
      <c r="J285" t="str">
        <f t="shared" si="13"/>
        <v>Average</v>
      </c>
      <c r="K285" t="str">
        <f t="shared" si="14"/>
        <v>Pass</v>
      </c>
    </row>
    <row r="286" spans="1:11" x14ac:dyDescent="0.25">
      <c r="A286" t="s">
        <v>8</v>
      </c>
      <c r="B286" t="s">
        <v>20</v>
      </c>
      <c r="C286" t="s">
        <v>22</v>
      </c>
      <c r="D286" t="s">
        <v>16</v>
      </c>
      <c r="E286" t="s">
        <v>17</v>
      </c>
      <c r="F286" s="1">
        <v>49</v>
      </c>
      <c r="G286" s="1">
        <v>49</v>
      </c>
      <c r="H286" s="1">
        <v>49</v>
      </c>
      <c r="I286" s="1">
        <f t="shared" si="12"/>
        <v>49</v>
      </c>
      <c r="J286" t="str">
        <f t="shared" si="13"/>
        <v>Average</v>
      </c>
      <c r="K286" t="str">
        <f t="shared" si="14"/>
        <v>Pass</v>
      </c>
    </row>
    <row r="287" spans="1:11" x14ac:dyDescent="0.25">
      <c r="A287" t="s">
        <v>8</v>
      </c>
      <c r="B287" t="s">
        <v>23</v>
      </c>
      <c r="C287" t="s">
        <v>21</v>
      </c>
      <c r="D287" t="s">
        <v>11</v>
      </c>
      <c r="E287" t="s">
        <v>17</v>
      </c>
      <c r="F287" s="1">
        <v>77</v>
      </c>
      <c r="G287" s="1">
        <v>80</v>
      </c>
      <c r="H287" s="1">
        <v>80</v>
      </c>
      <c r="I287" s="1">
        <f t="shared" si="12"/>
        <v>79</v>
      </c>
      <c r="J287" t="str">
        <f t="shared" si="13"/>
        <v>Good</v>
      </c>
      <c r="K287" t="str">
        <f t="shared" si="14"/>
        <v>Pass</v>
      </c>
    </row>
    <row r="288" spans="1:11" x14ac:dyDescent="0.25">
      <c r="A288" t="s">
        <v>13</v>
      </c>
      <c r="B288" t="s">
        <v>14</v>
      </c>
      <c r="C288" t="s">
        <v>10</v>
      </c>
      <c r="D288" t="s">
        <v>11</v>
      </c>
      <c r="E288" t="s">
        <v>17</v>
      </c>
      <c r="F288" s="1">
        <v>82</v>
      </c>
      <c r="G288" s="1">
        <v>89</v>
      </c>
      <c r="H288" s="1">
        <v>84</v>
      </c>
      <c r="I288" s="1">
        <f t="shared" si="12"/>
        <v>85</v>
      </c>
      <c r="J288" t="str">
        <f t="shared" si="13"/>
        <v>Excellent</v>
      </c>
      <c r="K288" t="str">
        <f t="shared" si="14"/>
        <v>Pass</v>
      </c>
    </row>
    <row r="289" spans="1:11" x14ac:dyDescent="0.25">
      <c r="A289" t="s">
        <v>8</v>
      </c>
      <c r="B289" t="s">
        <v>23</v>
      </c>
      <c r="C289" t="s">
        <v>19</v>
      </c>
      <c r="D289" t="s">
        <v>11</v>
      </c>
      <c r="E289" t="s">
        <v>17</v>
      </c>
      <c r="F289" s="1">
        <v>55</v>
      </c>
      <c r="G289" s="1">
        <v>48</v>
      </c>
      <c r="H289" s="1">
        <v>42</v>
      </c>
      <c r="I289" s="1">
        <f t="shared" si="12"/>
        <v>48.333333333333336</v>
      </c>
      <c r="J289" t="str">
        <f t="shared" si="13"/>
        <v>Average</v>
      </c>
      <c r="K289" t="str">
        <f t="shared" si="14"/>
        <v>Pass</v>
      </c>
    </row>
    <row r="290" spans="1:11" x14ac:dyDescent="0.25">
      <c r="A290" t="s">
        <v>13</v>
      </c>
      <c r="B290" t="s">
        <v>23</v>
      </c>
      <c r="C290" t="s">
        <v>15</v>
      </c>
      <c r="D290" t="s">
        <v>16</v>
      </c>
      <c r="E290" t="s">
        <v>17</v>
      </c>
      <c r="F290" s="1">
        <v>62</v>
      </c>
      <c r="G290" s="1">
        <v>71</v>
      </c>
      <c r="H290" s="1">
        <v>77</v>
      </c>
      <c r="I290" s="1">
        <f t="shared" si="12"/>
        <v>70</v>
      </c>
      <c r="J290" t="str">
        <f t="shared" si="13"/>
        <v>Good</v>
      </c>
      <c r="K290" t="str">
        <f t="shared" si="14"/>
        <v>Pass</v>
      </c>
    </row>
    <row r="291" spans="1:11" x14ac:dyDescent="0.25">
      <c r="A291" t="s">
        <v>8</v>
      </c>
      <c r="B291" t="s">
        <v>20</v>
      </c>
      <c r="C291" t="s">
        <v>10</v>
      </c>
      <c r="D291" t="s">
        <v>11</v>
      </c>
      <c r="E291" t="s">
        <v>12</v>
      </c>
      <c r="F291" s="1">
        <v>69</v>
      </c>
      <c r="G291" s="1">
        <v>63</v>
      </c>
      <c r="H291" s="1">
        <v>59</v>
      </c>
      <c r="I291" s="1">
        <f t="shared" si="12"/>
        <v>63.666666666666664</v>
      </c>
      <c r="J291" t="str">
        <f t="shared" si="13"/>
        <v>Good</v>
      </c>
      <c r="K291" t="str">
        <f t="shared" si="14"/>
        <v>Pass</v>
      </c>
    </row>
    <row r="292" spans="1:11" x14ac:dyDescent="0.25">
      <c r="A292" t="s">
        <v>8</v>
      </c>
      <c r="B292" t="s">
        <v>23</v>
      </c>
      <c r="C292" t="s">
        <v>21</v>
      </c>
      <c r="D292" t="s">
        <v>11</v>
      </c>
      <c r="E292" t="s">
        <v>17</v>
      </c>
      <c r="F292" s="1">
        <v>78</v>
      </c>
      <c r="G292" s="1">
        <v>74</v>
      </c>
      <c r="H292" s="1">
        <v>76</v>
      </c>
      <c r="I292" s="1">
        <f t="shared" si="12"/>
        <v>76</v>
      </c>
      <c r="J292" t="str">
        <f t="shared" si="13"/>
        <v>Good</v>
      </c>
      <c r="K292" t="str">
        <f t="shared" si="14"/>
        <v>Pass</v>
      </c>
    </row>
    <row r="293" spans="1:11" x14ac:dyDescent="0.25">
      <c r="A293" t="s">
        <v>13</v>
      </c>
      <c r="B293" t="s">
        <v>20</v>
      </c>
      <c r="C293" t="s">
        <v>10</v>
      </c>
      <c r="D293" t="s">
        <v>16</v>
      </c>
      <c r="E293" t="s">
        <v>12</v>
      </c>
      <c r="F293" s="1">
        <v>71</v>
      </c>
      <c r="G293" s="1">
        <v>77</v>
      </c>
      <c r="H293" s="1">
        <v>82</v>
      </c>
      <c r="I293" s="1">
        <f t="shared" si="12"/>
        <v>76.666666666666671</v>
      </c>
      <c r="J293" t="str">
        <f t="shared" si="13"/>
        <v>Good</v>
      </c>
      <c r="K293" t="str">
        <f t="shared" si="14"/>
        <v>Pass</v>
      </c>
    </row>
    <row r="294" spans="1:11" x14ac:dyDescent="0.25">
      <c r="A294" t="s">
        <v>8</v>
      </c>
      <c r="B294" t="s">
        <v>14</v>
      </c>
      <c r="C294" t="s">
        <v>19</v>
      </c>
      <c r="D294" t="s">
        <v>16</v>
      </c>
      <c r="E294" t="s">
        <v>12</v>
      </c>
      <c r="F294" s="1">
        <v>59</v>
      </c>
      <c r="G294" s="1">
        <v>71</v>
      </c>
      <c r="H294" s="1">
        <v>66</v>
      </c>
      <c r="I294" s="1">
        <f t="shared" si="12"/>
        <v>65.333333333333329</v>
      </c>
      <c r="J294" t="str">
        <f t="shared" si="13"/>
        <v>Good</v>
      </c>
      <c r="K294" t="str">
        <f t="shared" si="14"/>
        <v>Pass</v>
      </c>
    </row>
    <row r="295" spans="1:11" x14ac:dyDescent="0.25">
      <c r="A295" t="s">
        <v>13</v>
      </c>
      <c r="B295" t="s">
        <v>14</v>
      </c>
      <c r="C295" t="s">
        <v>10</v>
      </c>
      <c r="D295" t="s">
        <v>16</v>
      </c>
      <c r="E295" t="s">
        <v>17</v>
      </c>
      <c r="F295" s="1">
        <v>60</v>
      </c>
      <c r="G295" s="1">
        <v>75</v>
      </c>
      <c r="H295" s="1">
        <v>70</v>
      </c>
      <c r="I295" s="1">
        <f t="shared" si="12"/>
        <v>68.333333333333329</v>
      </c>
      <c r="J295" t="str">
        <f t="shared" si="13"/>
        <v>Good</v>
      </c>
      <c r="K295" t="str">
        <f t="shared" si="14"/>
        <v>Pass</v>
      </c>
    </row>
    <row r="296" spans="1:11" x14ac:dyDescent="0.25">
      <c r="A296" t="s">
        <v>13</v>
      </c>
      <c r="B296" t="s">
        <v>23</v>
      </c>
      <c r="C296" t="s">
        <v>22</v>
      </c>
      <c r="D296" t="s">
        <v>16</v>
      </c>
      <c r="E296" t="s">
        <v>12</v>
      </c>
      <c r="F296" s="1">
        <v>43</v>
      </c>
      <c r="G296" s="1">
        <v>60</v>
      </c>
      <c r="H296" s="1">
        <v>60</v>
      </c>
      <c r="I296" s="1">
        <f t="shared" si="12"/>
        <v>54.333333333333336</v>
      </c>
      <c r="J296" t="str">
        <f t="shared" si="13"/>
        <v>Average</v>
      </c>
      <c r="K296" t="str">
        <f t="shared" si="14"/>
        <v>Pass</v>
      </c>
    </row>
    <row r="297" spans="1:11" x14ac:dyDescent="0.25">
      <c r="A297" t="s">
        <v>13</v>
      </c>
      <c r="B297" t="s">
        <v>23</v>
      </c>
      <c r="C297" t="s">
        <v>15</v>
      </c>
      <c r="D297" t="s">
        <v>11</v>
      </c>
      <c r="E297" t="s">
        <v>17</v>
      </c>
      <c r="F297" s="1">
        <v>77</v>
      </c>
      <c r="G297" s="1">
        <v>83</v>
      </c>
      <c r="H297" s="1">
        <v>86</v>
      </c>
      <c r="I297" s="1">
        <f t="shared" si="12"/>
        <v>82</v>
      </c>
      <c r="J297" t="str">
        <f t="shared" si="13"/>
        <v>Excellent</v>
      </c>
      <c r="K297" t="str">
        <f t="shared" si="14"/>
        <v>Pass</v>
      </c>
    </row>
    <row r="298" spans="1:11" x14ac:dyDescent="0.25">
      <c r="A298" t="s">
        <v>8</v>
      </c>
      <c r="B298" t="s">
        <v>14</v>
      </c>
      <c r="C298" t="s">
        <v>15</v>
      </c>
      <c r="D298" t="s">
        <v>16</v>
      </c>
      <c r="E298" t="s">
        <v>17</v>
      </c>
      <c r="F298" s="1">
        <v>50</v>
      </c>
      <c r="G298" s="1">
        <v>47</v>
      </c>
      <c r="H298" s="1">
        <v>46</v>
      </c>
      <c r="I298" s="1">
        <f t="shared" si="12"/>
        <v>47.666666666666664</v>
      </c>
      <c r="J298" t="str">
        <f t="shared" si="13"/>
        <v>Average</v>
      </c>
      <c r="K298" t="str">
        <f t="shared" si="14"/>
        <v>Pass</v>
      </c>
    </row>
    <row r="299" spans="1:11" x14ac:dyDescent="0.25">
      <c r="A299" t="s">
        <v>13</v>
      </c>
      <c r="B299" t="s">
        <v>18</v>
      </c>
      <c r="C299" t="s">
        <v>22</v>
      </c>
      <c r="D299" t="s">
        <v>16</v>
      </c>
      <c r="E299" t="s">
        <v>17</v>
      </c>
      <c r="F299" s="1">
        <v>56</v>
      </c>
      <c r="G299" s="1">
        <v>58</v>
      </c>
      <c r="H299" s="1">
        <v>52</v>
      </c>
      <c r="I299" s="1">
        <f t="shared" si="12"/>
        <v>55.333333333333336</v>
      </c>
      <c r="J299" t="str">
        <f t="shared" si="13"/>
        <v>Average</v>
      </c>
      <c r="K299" t="str">
        <f t="shared" si="14"/>
        <v>Pass</v>
      </c>
    </row>
    <row r="300" spans="1:11" x14ac:dyDescent="0.25">
      <c r="A300" t="s">
        <v>8</v>
      </c>
      <c r="B300" t="s">
        <v>20</v>
      </c>
      <c r="C300" t="s">
        <v>10</v>
      </c>
      <c r="D300" t="s">
        <v>11</v>
      </c>
      <c r="E300" t="s">
        <v>17</v>
      </c>
      <c r="F300" s="1">
        <v>69</v>
      </c>
      <c r="G300" s="1">
        <v>58</v>
      </c>
      <c r="H300" s="1">
        <v>50</v>
      </c>
      <c r="I300" s="1">
        <f t="shared" si="12"/>
        <v>59</v>
      </c>
      <c r="J300" t="str">
        <f t="shared" si="13"/>
        <v>Average</v>
      </c>
      <c r="K300" t="str">
        <f t="shared" si="14"/>
        <v>Pass</v>
      </c>
    </row>
    <row r="301" spans="1:11" x14ac:dyDescent="0.25">
      <c r="A301" t="s">
        <v>8</v>
      </c>
      <c r="B301" t="s">
        <v>14</v>
      </c>
      <c r="C301" t="s">
        <v>10</v>
      </c>
      <c r="D301" t="s">
        <v>11</v>
      </c>
      <c r="E301" t="s">
        <v>17</v>
      </c>
      <c r="F301" s="1">
        <v>47</v>
      </c>
      <c r="G301" s="1">
        <v>43</v>
      </c>
      <c r="H301" s="1">
        <v>39</v>
      </c>
      <c r="I301" s="1">
        <f t="shared" si="12"/>
        <v>43</v>
      </c>
      <c r="J301" t="str">
        <f t="shared" si="13"/>
        <v>Average</v>
      </c>
      <c r="K301" t="str">
        <f t="shared" si="14"/>
        <v>Pass</v>
      </c>
    </row>
    <row r="302" spans="1:11" x14ac:dyDescent="0.25">
      <c r="A302" t="s">
        <v>8</v>
      </c>
      <c r="B302" t="s">
        <v>20</v>
      </c>
      <c r="C302" t="s">
        <v>19</v>
      </c>
      <c r="D302" t="s">
        <v>16</v>
      </c>
      <c r="E302" t="s">
        <v>17</v>
      </c>
      <c r="F302" s="1">
        <v>43</v>
      </c>
      <c r="G302" s="1">
        <v>28</v>
      </c>
      <c r="H302" s="1">
        <v>24</v>
      </c>
      <c r="I302" s="1">
        <f t="shared" si="12"/>
        <v>31.666666666666668</v>
      </c>
      <c r="J302" t="str">
        <f t="shared" si="13"/>
        <v>Poor</v>
      </c>
      <c r="K302" t="str">
        <f t="shared" si="14"/>
        <v>Fail</v>
      </c>
    </row>
    <row r="303" spans="1:11" x14ac:dyDescent="0.25">
      <c r="A303" t="s">
        <v>8</v>
      </c>
      <c r="B303" t="s">
        <v>9</v>
      </c>
      <c r="C303" t="s">
        <v>15</v>
      </c>
      <c r="D303" t="s">
        <v>16</v>
      </c>
      <c r="E303" t="s">
        <v>17</v>
      </c>
      <c r="F303" s="1">
        <v>48</v>
      </c>
      <c r="G303" s="1">
        <v>39</v>
      </c>
      <c r="H303" s="1">
        <v>40</v>
      </c>
      <c r="I303" s="1">
        <f t="shared" si="12"/>
        <v>42.333333333333336</v>
      </c>
      <c r="J303" t="str">
        <f t="shared" si="13"/>
        <v>Average</v>
      </c>
      <c r="K303" t="str">
        <f t="shared" si="14"/>
        <v>Pass</v>
      </c>
    </row>
    <row r="304" spans="1:11" x14ac:dyDescent="0.25">
      <c r="A304" t="s">
        <v>8</v>
      </c>
      <c r="B304" t="s">
        <v>23</v>
      </c>
      <c r="C304" t="s">
        <v>10</v>
      </c>
      <c r="D304" t="s">
        <v>16</v>
      </c>
      <c r="E304" t="s">
        <v>17</v>
      </c>
      <c r="F304" s="1">
        <v>55</v>
      </c>
      <c r="G304" s="1">
        <v>62</v>
      </c>
      <c r="H304" s="1">
        <v>49</v>
      </c>
      <c r="I304" s="1">
        <f t="shared" si="12"/>
        <v>55.333333333333336</v>
      </c>
      <c r="J304" t="str">
        <f t="shared" si="13"/>
        <v>Average</v>
      </c>
      <c r="K304" t="str">
        <f t="shared" si="14"/>
        <v>Pass</v>
      </c>
    </row>
    <row r="305" spans="1:11" x14ac:dyDescent="0.25">
      <c r="A305" t="s">
        <v>8</v>
      </c>
      <c r="B305" t="s">
        <v>23</v>
      </c>
      <c r="C305" t="s">
        <v>19</v>
      </c>
      <c r="D305" t="s">
        <v>11</v>
      </c>
      <c r="E305" t="s">
        <v>17</v>
      </c>
      <c r="F305" s="1">
        <v>73</v>
      </c>
      <c r="G305" s="1">
        <v>68</v>
      </c>
      <c r="H305" s="1">
        <v>66</v>
      </c>
      <c r="I305" s="1">
        <f t="shared" si="12"/>
        <v>69</v>
      </c>
      <c r="J305" t="str">
        <f t="shared" si="13"/>
        <v>Good</v>
      </c>
      <c r="K305" t="str">
        <f t="shared" si="14"/>
        <v>Pass</v>
      </c>
    </row>
    <row r="306" spans="1:11" x14ac:dyDescent="0.25">
      <c r="A306" t="s">
        <v>8</v>
      </c>
      <c r="B306" t="s">
        <v>14</v>
      </c>
      <c r="C306" t="s">
        <v>22</v>
      </c>
      <c r="D306" t="s">
        <v>11</v>
      </c>
      <c r="E306" t="s">
        <v>17</v>
      </c>
      <c r="F306" s="1">
        <v>71</v>
      </c>
      <c r="G306" s="1">
        <v>63</v>
      </c>
      <c r="H306" s="1">
        <v>66</v>
      </c>
      <c r="I306" s="1">
        <f t="shared" si="12"/>
        <v>66.666666666666671</v>
      </c>
      <c r="J306" t="str">
        <f t="shared" si="13"/>
        <v>Good</v>
      </c>
      <c r="K306" t="str">
        <f t="shared" si="14"/>
        <v>Pass</v>
      </c>
    </row>
    <row r="307" spans="1:11" x14ac:dyDescent="0.25">
      <c r="A307" t="s">
        <v>13</v>
      </c>
      <c r="B307" t="s">
        <v>20</v>
      </c>
      <c r="C307" t="s">
        <v>19</v>
      </c>
      <c r="D307" t="s">
        <v>11</v>
      </c>
      <c r="E307" t="s">
        <v>17</v>
      </c>
      <c r="F307" s="1">
        <v>54</v>
      </c>
      <c r="G307" s="1">
        <v>57</v>
      </c>
      <c r="H307" s="1">
        <v>60</v>
      </c>
      <c r="I307" s="1">
        <f t="shared" si="12"/>
        <v>57</v>
      </c>
      <c r="J307" t="str">
        <f t="shared" si="13"/>
        <v>Average</v>
      </c>
      <c r="K307" t="str">
        <f t="shared" si="14"/>
        <v>Pass</v>
      </c>
    </row>
    <row r="308" spans="1:11" x14ac:dyDescent="0.25">
      <c r="A308" t="s">
        <v>8</v>
      </c>
      <c r="B308" t="s">
        <v>23</v>
      </c>
      <c r="C308" t="s">
        <v>10</v>
      </c>
      <c r="D308" t="s">
        <v>11</v>
      </c>
      <c r="E308" t="s">
        <v>17</v>
      </c>
      <c r="F308" s="1">
        <v>66</v>
      </c>
      <c r="G308" s="1">
        <v>61</v>
      </c>
      <c r="H308" s="1">
        <v>63</v>
      </c>
      <c r="I308" s="1">
        <f t="shared" si="12"/>
        <v>63.333333333333336</v>
      </c>
      <c r="J308" t="str">
        <f t="shared" si="13"/>
        <v>Good</v>
      </c>
      <c r="K308" t="str">
        <f t="shared" si="14"/>
        <v>Pass</v>
      </c>
    </row>
    <row r="309" spans="1:11" x14ac:dyDescent="0.25">
      <c r="A309" t="s">
        <v>8</v>
      </c>
      <c r="B309" t="s">
        <v>9</v>
      </c>
      <c r="C309" t="s">
        <v>24</v>
      </c>
      <c r="D309" t="s">
        <v>11</v>
      </c>
      <c r="E309" t="s">
        <v>17</v>
      </c>
      <c r="F309" s="1">
        <v>63</v>
      </c>
      <c r="G309" s="1">
        <v>63</v>
      </c>
      <c r="H309" s="1">
        <v>67</v>
      </c>
      <c r="I309" s="1">
        <f t="shared" si="12"/>
        <v>64.333333333333329</v>
      </c>
      <c r="J309" t="str">
        <f t="shared" si="13"/>
        <v>Good</v>
      </c>
      <c r="K309" t="str">
        <f t="shared" si="14"/>
        <v>Pass</v>
      </c>
    </row>
    <row r="310" spans="1:11" x14ac:dyDescent="0.25">
      <c r="A310" t="s">
        <v>13</v>
      </c>
      <c r="B310" t="s">
        <v>14</v>
      </c>
      <c r="C310" t="s">
        <v>22</v>
      </c>
      <c r="D310" t="s">
        <v>11</v>
      </c>
      <c r="E310" t="s">
        <v>17</v>
      </c>
      <c r="F310" s="1">
        <v>66</v>
      </c>
      <c r="G310" s="1">
        <v>81</v>
      </c>
      <c r="H310" s="1">
        <v>73</v>
      </c>
      <c r="I310" s="1">
        <f t="shared" si="12"/>
        <v>73.333333333333329</v>
      </c>
      <c r="J310" t="str">
        <f t="shared" si="13"/>
        <v>Good</v>
      </c>
      <c r="K310" t="str">
        <f t="shared" si="14"/>
        <v>Pass</v>
      </c>
    </row>
    <row r="311" spans="1:11" x14ac:dyDescent="0.25">
      <c r="A311" t="s">
        <v>8</v>
      </c>
      <c r="B311" t="s">
        <v>23</v>
      </c>
      <c r="C311" t="s">
        <v>22</v>
      </c>
      <c r="D311" t="s">
        <v>11</v>
      </c>
      <c r="E311" t="s">
        <v>12</v>
      </c>
      <c r="F311" s="1">
        <v>79</v>
      </c>
      <c r="G311" s="1">
        <v>80</v>
      </c>
      <c r="H311" s="1">
        <v>75</v>
      </c>
      <c r="I311" s="1">
        <f t="shared" si="12"/>
        <v>78</v>
      </c>
      <c r="J311" t="str">
        <f t="shared" si="13"/>
        <v>Good</v>
      </c>
      <c r="K311" t="str">
        <f t="shared" si="14"/>
        <v>Pass</v>
      </c>
    </row>
    <row r="312" spans="1:11" x14ac:dyDescent="0.25">
      <c r="A312" t="s">
        <v>8</v>
      </c>
      <c r="B312" t="s">
        <v>14</v>
      </c>
      <c r="C312" t="s">
        <v>21</v>
      </c>
      <c r="D312" t="s">
        <v>16</v>
      </c>
      <c r="E312" t="s">
        <v>12</v>
      </c>
      <c r="F312" s="1">
        <v>73</v>
      </c>
      <c r="G312" s="1">
        <v>69</v>
      </c>
      <c r="H312" s="1">
        <v>70</v>
      </c>
      <c r="I312" s="1">
        <f t="shared" si="12"/>
        <v>70.666666666666671</v>
      </c>
      <c r="J312" t="str">
        <f t="shared" si="13"/>
        <v>Good</v>
      </c>
      <c r="K312" t="str">
        <f t="shared" si="14"/>
        <v>Pass</v>
      </c>
    </row>
    <row r="313" spans="1:11" x14ac:dyDescent="0.25">
      <c r="A313" t="s">
        <v>13</v>
      </c>
      <c r="B313" t="s">
        <v>23</v>
      </c>
      <c r="C313" t="s">
        <v>15</v>
      </c>
      <c r="D313" t="s">
        <v>11</v>
      </c>
      <c r="E313" t="s">
        <v>17</v>
      </c>
      <c r="F313" s="1">
        <v>36</v>
      </c>
      <c r="G313" s="1">
        <v>57</v>
      </c>
      <c r="H313" s="1">
        <v>53</v>
      </c>
      <c r="I313" s="1">
        <f t="shared" si="12"/>
        <v>48.666666666666664</v>
      </c>
      <c r="J313" t="str">
        <f t="shared" si="13"/>
        <v>Average</v>
      </c>
      <c r="K313" t="str">
        <f t="shared" si="14"/>
        <v>Pass</v>
      </c>
    </row>
    <row r="314" spans="1:11" x14ac:dyDescent="0.25">
      <c r="A314" t="s">
        <v>8</v>
      </c>
      <c r="B314" t="s">
        <v>23</v>
      </c>
      <c r="C314" t="s">
        <v>21</v>
      </c>
      <c r="D314" t="s">
        <v>16</v>
      </c>
      <c r="E314" t="s">
        <v>17</v>
      </c>
      <c r="F314" s="1">
        <v>50</v>
      </c>
      <c r="G314" s="1">
        <v>48</v>
      </c>
      <c r="H314" s="1">
        <v>43</v>
      </c>
      <c r="I314" s="1">
        <f t="shared" si="12"/>
        <v>47</v>
      </c>
      <c r="J314" t="str">
        <f t="shared" si="13"/>
        <v>Average</v>
      </c>
      <c r="K314" t="str">
        <f t="shared" si="14"/>
        <v>Pass</v>
      </c>
    </row>
    <row r="315" spans="1:11" x14ac:dyDescent="0.25">
      <c r="A315" t="s">
        <v>8</v>
      </c>
      <c r="B315" t="s">
        <v>18</v>
      </c>
      <c r="C315" t="s">
        <v>19</v>
      </c>
      <c r="D315" t="s">
        <v>11</v>
      </c>
      <c r="E315" t="s">
        <v>12</v>
      </c>
      <c r="F315" s="1">
        <v>87</v>
      </c>
      <c r="G315" s="1">
        <v>78</v>
      </c>
      <c r="H315" s="1">
        <v>80</v>
      </c>
      <c r="I315" s="1">
        <f t="shared" si="12"/>
        <v>81.666666666666671</v>
      </c>
      <c r="J315" t="str">
        <f t="shared" si="13"/>
        <v>Excellent</v>
      </c>
      <c r="K315" t="str">
        <f t="shared" si="14"/>
        <v>Pass</v>
      </c>
    </row>
    <row r="316" spans="1:11" x14ac:dyDescent="0.25">
      <c r="A316" t="s">
        <v>8</v>
      </c>
      <c r="B316" t="s">
        <v>23</v>
      </c>
      <c r="C316" t="s">
        <v>21</v>
      </c>
      <c r="D316" t="s">
        <v>11</v>
      </c>
      <c r="E316" t="s">
        <v>17</v>
      </c>
      <c r="F316" s="1">
        <v>71</v>
      </c>
      <c r="G316" s="1">
        <v>68</v>
      </c>
      <c r="H316" s="1">
        <v>63</v>
      </c>
      <c r="I316" s="1">
        <f t="shared" si="12"/>
        <v>67.333333333333329</v>
      </c>
      <c r="J316" t="str">
        <f t="shared" si="13"/>
        <v>Good</v>
      </c>
      <c r="K316" t="str">
        <f t="shared" si="14"/>
        <v>Pass</v>
      </c>
    </row>
    <row r="317" spans="1:11" x14ac:dyDescent="0.25">
      <c r="A317" t="s">
        <v>13</v>
      </c>
      <c r="B317" t="s">
        <v>23</v>
      </c>
      <c r="C317" t="s">
        <v>21</v>
      </c>
      <c r="D317" t="s">
        <v>11</v>
      </c>
      <c r="E317" t="s">
        <v>12</v>
      </c>
      <c r="F317" s="1">
        <v>85</v>
      </c>
      <c r="G317" s="1">
        <v>87</v>
      </c>
      <c r="H317" s="1">
        <v>94</v>
      </c>
      <c r="I317" s="1">
        <f t="shared" si="12"/>
        <v>88.666666666666671</v>
      </c>
      <c r="J317" t="str">
        <f t="shared" si="13"/>
        <v>Excellent</v>
      </c>
      <c r="K317" t="str">
        <f t="shared" si="14"/>
        <v>Pass</v>
      </c>
    </row>
    <row r="318" spans="1:11" x14ac:dyDescent="0.25">
      <c r="A318" t="s">
        <v>13</v>
      </c>
      <c r="B318" t="s">
        <v>23</v>
      </c>
      <c r="C318" t="s">
        <v>10</v>
      </c>
      <c r="D318" t="s">
        <v>11</v>
      </c>
      <c r="E318" t="s">
        <v>12</v>
      </c>
      <c r="F318" s="1">
        <v>58</v>
      </c>
      <c r="G318" s="1">
        <v>67</v>
      </c>
      <c r="H318" s="1">
        <v>64</v>
      </c>
      <c r="I318" s="1">
        <f t="shared" si="12"/>
        <v>63</v>
      </c>
      <c r="J318" t="str">
        <f t="shared" si="13"/>
        <v>Good</v>
      </c>
      <c r="K318" t="str">
        <f t="shared" si="14"/>
        <v>Pass</v>
      </c>
    </row>
    <row r="319" spans="1:11" x14ac:dyDescent="0.25">
      <c r="A319" t="s">
        <v>8</v>
      </c>
      <c r="B319" t="s">
        <v>23</v>
      </c>
      <c r="C319" t="s">
        <v>19</v>
      </c>
      <c r="D319" t="s">
        <v>11</v>
      </c>
      <c r="E319" t="s">
        <v>17</v>
      </c>
      <c r="F319" s="1">
        <v>86</v>
      </c>
      <c r="G319" s="1">
        <v>83</v>
      </c>
      <c r="H319" s="1">
        <v>81</v>
      </c>
      <c r="I319" s="1">
        <f t="shared" si="12"/>
        <v>83.333333333333329</v>
      </c>
      <c r="J319" t="str">
        <f t="shared" si="13"/>
        <v>Excellent</v>
      </c>
      <c r="K319" t="str">
        <f t="shared" si="14"/>
        <v>Pass</v>
      </c>
    </row>
    <row r="320" spans="1:11" x14ac:dyDescent="0.25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 s="1">
        <v>64</v>
      </c>
      <c r="G320" s="1">
        <v>86</v>
      </c>
      <c r="H320" s="1">
        <v>89</v>
      </c>
      <c r="I320" s="1">
        <f t="shared" si="12"/>
        <v>79.666666666666671</v>
      </c>
      <c r="J320" t="str">
        <f t="shared" si="13"/>
        <v>Good</v>
      </c>
      <c r="K320" t="str">
        <f t="shared" si="14"/>
        <v>Pass</v>
      </c>
    </row>
    <row r="321" spans="1:11" x14ac:dyDescent="0.25">
      <c r="A321" t="s">
        <v>8</v>
      </c>
      <c r="B321" t="s">
        <v>14</v>
      </c>
      <c r="C321" t="s">
        <v>19</v>
      </c>
      <c r="D321" t="s">
        <v>11</v>
      </c>
      <c r="E321" t="s">
        <v>17</v>
      </c>
      <c r="F321" s="1">
        <v>83</v>
      </c>
      <c r="G321" s="1">
        <v>85</v>
      </c>
      <c r="H321" s="1">
        <v>79</v>
      </c>
      <c r="I321" s="1">
        <f t="shared" si="12"/>
        <v>82.333333333333329</v>
      </c>
      <c r="J321" t="str">
        <f t="shared" si="13"/>
        <v>Excellent</v>
      </c>
      <c r="K321" t="str">
        <f t="shared" si="14"/>
        <v>Pass</v>
      </c>
    </row>
    <row r="322" spans="1:11" x14ac:dyDescent="0.25">
      <c r="A322" t="s">
        <v>8</v>
      </c>
      <c r="B322" t="s">
        <v>18</v>
      </c>
      <c r="C322" t="s">
        <v>10</v>
      </c>
      <c r="D322" t="s">
        <v>16</v>
      </c>
      <c r="E322" t="s">
        <v>12</v>
      </c>
      <c r="F322" s="1">
        <v>58</v>
      </c>
      <c r="G322" s="1">
        <v>56</v>
      </c>
      <c r="H322" s="1">
        <v>49</v>
      </c>
      <c r="I322" s="1">
        <f t="shared" ref="I322:I385" si="15">AVERAGE(F322:H322)</f>
        <v>54.333333333333336</v>
      </c>
      <c r="J322" t="str">
        <f t="shared" ref="J322:J385" si="16">IF(I322&gt;=80,"Excellent", IF(I322&gt;=60,"Good", IF(I322&gt;=40,"Average","Poor")))</f>
        <v>Average</v>
      </c>
      <c r="K322" t="str">
        <f t="shared" ref="K322:K385" si="17">IF(I322&gt;=40, "Pass","Fail")</f>
        <v>Pass</v>
      </c>
    </row>
    <row r="323" spans="1:11" x14ac:dyDescent="0.25">
      <c r="A323" t="s">
        <v>13</v>
      </c>
      <c r="B323" t="s">
        <v>23</v>
      </c>
      <c r="C323" t="s">
        <v>19</v>
      </c>
      <c r="D323" t="s">
        <v>16</v>
      </c>
      <c r="E323" t="s">
        <v>12</v>
      </c>
      <c r="F323" s="1">
        <v>59</v>
      </c>
      <c r="G323" s="1">
        <v>83</v>
      </c>
      <c r="H323" s="1">
        <v>81</v>
      </c>
      <c r="I323" s="1">
        <f t="shared" si="15"/>
        <v>74.333333333333329</v>
      </c>
      <c r="J323" t="str">
        <f t="shared" si="16"/>
        <v>Good</v>
      </c>
      <c r="K323" t="str">
        <f t="shared" si="17"/>
        <v>Pass</v>
      </c>
    </row>
    <row r="324" spans="1:11" x14ac:dyDescent="0.25">
      <c r="A324" t="s">
        <v>13</v>
      </c>
      <c r="B324" t="s">
        <v>23</v>
      </c>
      <c r="C324" t="s">
        <v>10</v>
      </c>
      <c r="D324" t="s">
        <v>11</v>
      </c>
      <c r="E324" t="s">
        <v>17</v>
      </c>
      <c r="F324" s="1">
        <v>40</v>
      </c>
      <c r="G324" s="1">
        <v>58</v>
      </c>
      <c r="H324" s="1">
        <v>54</v>
      </c>
      <c r="I324" s="1">
        <f t="shared" si="15"/>
        <v>50.666666666666664</v>
      </c>
      <c r="J324" t="str">
        <f t="shared" si="16"/>
        <v>Average</v>
      </c>
      <c r="K324" t="str">
        <f t="shared" si="17"/>
        <v>Pass</v>
      </c>
    </row>
    <row r="325" spans="1:11" x14ac:dyDescent="0.25">
      <c r="A325" t="s">
        <v>8</v>
      </c>
      <c r="B325" t="s">
        <v>14</v>
      </c>
      <c r="C325" t="s">
        <v>21</v>
      </c>
      <c r="D325" t="s">
        <v>11</v>
      </c>
      <c r="E325" t="s">
        <v>12</v>
      </c>
      <c r="F325" s="1">
        <v>82</v>
      </c>
      <c r="G325" s="1">
        <v>83</v>
      </c>
      <c r="H325" s="1">
        <v>85</v>
      </c>
      <c r="I325" s="1">
        <f t="shared" si="15"/>
        <v>83.333333333333329</v>
      </c>
      <c r="J325" t="str">
        <f t="shared" si="16"/>
        <v>Excellent</v>
      </c>
      <c r="K325" t="str">
        <f t="shared" si="17"/>
        <v>Pass</v>
      </c>
    </row>
    <row r="326" spans="1:11" x14ac:dyDescent="0.25">
      <c r="A326" t="s">
        <v>8</v>
      </c>
      <c r="B326" t="s">
        <v>18</v>
      </c>
      <c r="C326" t="s">
        <v>15</v>
      </c>
      <c r="D326" t="s">
        <v>11</v>
      </c>
      <c r="E326" t="s">
        <v>17</v>
      </c>
      <c r="F326" s="1">
        <v>87</v>
      </c>
      <c r="G326" s="1">
        <v>84</v>
      </c>
      <c r="H326" s="1">
        <v>80</v>
      </c>
      <c r="I326" s="1">
        <f t="shared" si="15"/>
        <v>83.666666666666671</v>
      </c>
      <c r="J326" t="str">
        <f t="shared" si="16"/>
        <v>Excellent</v>
      </c>
      <c r="K326" t="str">
        <f t="shared" si="17"/>
        <v>Pass</v>
      </c>
    </row>
    <row r="327" spans="1:11" x14ac:dyDescent="0.25">
      <c r="A327" t="s">
        <v>13</v>
      </c>
      <c r="B327" t="s">
        <v>23</v>
      </c>
      <c r="C327" t="s">
        <v>15</v>
      </c>
      <c r="D327" t="s">
        <v>11</v>
      </c>
      <c r="E327" t="s">
        <v>17</v>
      </c>
      <c r="F327" s="1">
        <v>62</v>
      </c>
      <c r="G327" s="1">
        <v>65</v>
      </c>
      <c r="H327" s="1">
        <v>64</v>
      </c>
      <c r="I327" s="1">
        <f t="shared" si="15"/>
        <v>63.666666666666664</v>
      </c>
      <c r="J327" t="str">
        <f t="shared" si="16"/>
        <v>Good</v>
      </c>
      <c r="K327" t="str">
        <f t="shared" si="17"/>
        <v>Pass</v>
      </c>
    </row>
    <row r="328" spans="1:11" x14ac:dyDescent="0.25">
      <c r="A328" t="s">
        <v>8</v>
      </c>
      <c r="B328" t="s">
        <v>20</v>
      </c>
      <c r="C328" t="s">
        <v>21</v>
      </c>
      <c r="D328" t="s">
        <v>16</v>
      </c>
      <c r="E328" t="s">
        <v>12</v>
      </c>
      <c r="F328" s="1">
        <v>76</v>
      </c>
      <c r="G328" s="1">
        <v>80</v>
      </c>
      <c r="H328" s="1">
        <v>78</v>
      </c>
      <c r="I328" s="1">
        <f t="shared" si="15"/>
        <v>78</v>
      </c>
      <c r="J328" t="str">
        <f t="shared" si="16"/>
        <v>Good</v>
      </c>
      <c r="K328" t="str">
        <f t="shared" si="17"/>
        <v>Pass</v>
      </c>
    </row>
    <row r="329" spans="1:11" x14ac:dyDescent="0.25">
      <c r="A329" t="s">
        <v>13</v>
      </c>
      <c r="B329" t="s">
        <v>9</v>
      </c>
      <c r="C329" t="s">
        <v>10</v>
      </c>
      <c r="D329" t="s">
        <v>11</v>
      </c>
      <c r="E329" t="s">
        <v>17</v>
      </c>
      <c r="F329" s="1">
        <v>63</v>
      </c>
      <c r="G329" s="1">
        <v>69</v>
      </c>
      <c r="H329" s="1">
        <v>60</v>
      </c>
      <c r="I329" s="1">
        <f t="shared" si="15"/>
        <v>64</v>
      </c>
      <c r="J329" t="str">
        <f t="shared" si="16"/>
        <v>Good</v>
      </c>
      <c r="K329" t="str">
        <f t="shared" si="17"/>
        <v>Pass</v>
      </c>
    </row>
    <row r="330" spans="1:11" x14ac:dyDescent="0.25">
      <c r="A330" t="s">
        <v>8</v>
      </c>
      <c r="B330" t="s">
        <v>14</v>
      </c>
      <c r="C330" t="s">
        <v>19</v>
      </c>
      <c r="D330" t="s">
        <v>16</v>
      </c>
      <c r="E330" t="s">
        <v>12</v>
      </c>
      <c r="F330" s="1">
        <v>58</v>
      </c>
      <c r="G330" s="1">
        <v>60</v>
      </c>
      <c r="H330" s="1">
        <v>59</v>
      </c>
      <c r="I330" s="1">
        <f t="shared" si="15"/>
        <v>59</v>
      </c>
      <c r="J330" t="str">
        <f t="shared" si="16"/>
        <v>Average</v>
      </c>
      <c r="K330" t="str">
        <f t="shared" si="17"/>
        <v>Pass</v>
      </c>
    </row>
    <row r="331" spans="1:11" x14ac:dyDescent="0.25">
      <c r="A331" t="s">
        <v>8</v>
      </c>
      <c r="B331" t="s">
        <v>14</v>
      </c>
      <c r="C331" t="s">
        <v>21</v>
      </c>
      <c r="D331" t="s">
        <v>11</v>
      </c>
      <c r="E331" t="s">
        <v>12</v>
      </c>
      <c r="F331" s="1">
        <v>61</v>
      </c>
      <c r="G331" s="1">
        <v>63</v>
      </c>
      <c r="H331" s="1">
        <v>65</v>
      </c>
      <c r="I331" s="1">
        <f t="shared" si="15"/>
        <v>63</v>
      </c>
      <c r="J331" t="str">
        <f t="shared" si="16"/>
        <v>Good</v>
      </c>
      <c r="K331" t="str">
        <f t="shared" si="17"/>
        <v>Pass</v>
      </c>
    </row>
    <row r="332" spans="1:11" x14ac:dyDescent="0.25">
      <c r="A332" t="s">
        <v>8</v>
      </c>
      <c r="B332" t="s">
        <v>23</v>
      </c>
      <c r="C332" t="s">
        <v>19</v>
      </c>
      <c r="D332" t="s">
        <v>11</v>
      </c>
      <c r="E332" t="s">
        <v>17</v>
      </c>
      <c r="F332" s="1">
        <v>78</v>
      </c>
      <c r="G332" s="1">
        <v>69</v>
      </c>
      <c r="H332" s="1">
        <v>71</v>
      </c>
      <c r="I332" s="1">
        <f t="shared" si="15"/>
        <v>72.666666666666671</v>
      </c>
      <c r="J332" t="str">
        <f t="shared" si="16"/>
        <v>Good</v>
      </c>
      <c r="K332" t="str">
        <f t="shared" si="17"/>
        <v>Pass</v>
      </c>
    </row>
    <row r="333" spans="1:11" x14ac:dyDescent="0.25">
      <c r="A333" t="s">
        <v>13</v>
      </c>
      <c r="B333" t="s">
        <v>23</v>
      </c>
      <c r="C333" t="s">
        <v>22</v>
      </c>
      <c r="D333" t="s">
        <v>16</v>
      </c>
      <c r="E333" t="s">
        <v>12</v>
      </c>
      <c r="F333" s="1">
        <v>78</v>
      </c>
      <c r="G333" s="1">
        <v>90</v>
      </c>
      <c r="H333" s="1">
        <v>81</v>
      </c>
      <c r="I333" s="1">
        <f t="shared" si="15"/>
        <v>83</v>
      </c>
      <c r="J333" t="str">
        <f t="shared" si="16"/>
        <v>Excellent</v>
      </c>
      <c r="K333" t="str">
        <f t="shared" si="17"/>
        <v>Pass</v>
      </c>
    </row>
    <row r="334" spans="1:11" x14ac:dyDescent="0.25">
      <c r="A334" t="s">
        <v>8</v>
      </c>
      <c r="B334" t="s">
        <v>23</v>
      </c>
      <c r="C334" t="s">
        <v>19</v>
      </c>
      <c r="D334" t="s">
        <v>11</v>
      </c>
      <c r="E334" t="s">
        <v>17</v>
      </c>
      <c r="F334" s="1">
        <v>56</v>
      </c>
      <c r="G334" s="1">
        <v>54</v>
      </c>
      <c r="H334" s="1">
        <v>43</v>
      </c>
      <c r="I334" s="1">
        <f t="shared" si="15"/>
        <v>51</v>
      </c>
      <c r="J334" t="str">
        <f t="shared" si="16"/>
        <v>Average</v>
      </c>
      <c r="K334" t="str">
        <f t="shared" si="17"/>
        <v>Pass</v>
      </c>
    </row>
    <row r="335" spans="1:11" x14ac:dyDescent="0.25">
      <c r="A335" t="s">
        <v>8</v>
      </c>
      <c r="B335" t="s">
        <v>14</v>
      </c>
      <c r="C335" t="s">
        <v>15</v>
      </c>
      <c r="D335" t="s">
        <v>11</v>
      </c>
      <c r="E335" t="s">
        <v>17</v>
      </c>
      <c r="F335" s="1">
        <v>96</v>
      </c>
      <c r="G335" s="1">
        <v>83</v>
      </c>
      <c r="H335" s="1">
        <v>82</v>
      </c>
      <c r="I335" s="1">
        <f t="shared" si="15"/>
        <v>87</v>
      </c>
      <c r="J335" t="str">
        <f t="shared" si="16"/>
        <v>Excellent</v>
      </c>
      <c r="K335" t="str">
        <f t="shared" si="17"/>
        <v>Pass</v>
      </c>
    </row>
    <row r="336" spans="1:11" x14ac:dyDescent="0.25">
      <c r="A336" t="s">
        <v>8</v>
      </c>
      <c r="B336" t="s">
        <v>23</v>
      </c>
      <c r="C336" t="s">
        <v>10</v>
      </c>
      <c r="D336" t="s">
        <v>11</v>
      </c>
      <c r="E336" t="s">
        <v>17</v>
      </c>
      <c r="F336" s="1">
        <v>48</v>
      </c>
      <c r="G336" s="1">
        <v>43</v>
      </c>
      <c r="H336" s="1">
        <v>40</v>
      </c>
      <c r="I336" s="1">
        <f t="shared" si="15"/>
        <v>43.666666666666664</v>
      </c>
      <c r="J336" t="str">
        <f t="shared" si="16"/>
        <v>Average</v>
      </c>
      <c r="K336" t="str">
        <f t="shared" si="17"/>
        <v>Pass</v>
      </c>
    </row>
    <row r="337" spans="1:11" x14ac:dyDescent="0.25">
      <c r="A337" t="s">
        <v>8</v>
      </c>
      <c r="B337" t="s">
        <v>23</v>
      </c>
      <c r="C337" t="s">
        <v>21</v>
      </c>
      <c r="D337" t="s">
        <v>11</v>
      </c>
      <c r="E337" t="s">
        <v>12</v>
      </c>
      <c r="F337" s="1">
        <v>70</v>
      </c>
      <c r="G337" s="1">
        <v>76</v>
      </c>
      <c r="H337" s="1">
        <v>72</v>
      </c>
      <c r="I337" s="1">
        <f t="shared" si="15"/>
        <v>72.666666666666671</v>
      </c>
      <c r="J337" t="str">
        <f t="shared" si="16"/>
        <v>Good</v>
      </c>
      <c r="K337" t="str">
        <f t="shared" si="17"/>
        <v>Pass</v>
      </c>
    </row>
    <row r="338" spans="1:11" x14ac:dyDescent="0.25">
      <c r="A338" t="s">
        <v>8</v>
      </c>
      <c r="B338" t="s">
        <v>14</v>
      </c>
      <c r="C338" t="s">
        <v>19</v>
      </c>
      <c r="D338" t="s">
        <v>16</v>
      </c>
      <c r="E338" t="s">
        <v>17</v>
      </c>
      <c r="F338" s="1">
        <v>43</v>
      </c>
      <c r="G338" s="1">
        <v>68</v>
      </c>
      <c r="H338" s="1">
        <v>58</v>
      </c>
      <c r="I338" s="1">
        <f t="shared" si="15"/>
        <v>56.333333333333336</v>
      </c>
      <c r="J338" t="str">
        <f t="shared" si="16"/>
        <v>Average</v>
      </c>
      <c r="K338" t="str">
        <f t="shared" si="17"/>
        <v>Pass</v>
      </c>
    </row>
    <row r="339" spans="1:11" x14ac:dyDescent="0.25">
      <c r="A339" t="s">
        <v>13</v>
      </c>
      <c r="B339" t="s">
        <v>18</v>
      </c>
      <c r="C339" t="s">
        <v>10</v>
      </c>
      <c r="D339" t="s">
        <v>16</v>
      </c>
      <c r="E339" t="s">
        <v>17</v>
      </c>
      <c r="F339" s="1">
        <v>45</v>
      </c>
      <c r="G339" s="1">
        <v>46</v>
      </c>
      <c r="H339" s="1">
        <v>49</v>
      </c>
      <c r="I339" s="1">
        <f t="shared" si="15"/>
        <v>46.666666666666664</v>
      </c>
      <c r="J339" t="str">
        <f t="shared" si="16"/>
        <v>Average</v>
      </c>
      <c r="K339" t="str">
        <f t="shared" si="17"/>
        <v>Pass</v>
      </c>
    </row>
    <row r="340" spans="1:11" x14ac:dyDescent="0.25">
      <c r="A340" t="s">
        <v>13</v>
      </c>
      <c r="B340" t="s">
        <v>23</v>
      </c>
      <c r="C340" t="s">
        <v>21</v>
      </c>
      <c r="D340" t="s">
        <v>11</v>
      </c>
      <c r="E340" t="s">
        <v>17</v>
      </c>
      <c r="F340" s="1">
        <v>58</v>
      </c>
      <c r="G340" s="1">
        <v>68</v>
      </c>
      <c r="H340" s="1">
        <v>62</v>
      </c>
      <c r="I340" s="1">
        <f t="shared" si="15"/>
        <v>62.666666666666664</v>
      </c>
      <c r="J340" t="str">
        <f t="shared" si="16"/>
        <v>Good</v>
      </c>
      <c r="K340" t="str">
        <f t="shared" si="17"/>
        <v>Pass</v>
      </c>
    </row>
    <row r="341" spans="1:11" x14ac:dyDescent="0.25">
      <c r="A341" t="s">
        <v>13</v>
      </c>
      <c r="B341" t="s">
        <v>9</v>
      </c>
      <c r="C341" t="s">
        <v>10</v>
      </c>
      <c r="D341" t="s">
        <v>11</v>
      </c>
      <c r="E341" t="s">
        <v>12</v>
      </c>
      <c r="F341" s="1">
        <v>70</v>
      </c>
      <c r="G341" s="1">
        <v>73</v>
      </c>
      <c r="H341" s="1">
        <v>80</v>
      </c>
      <c r="I341" s="1">
        <f t="shared" si="15"/>
        <v>74.333333333333329</v>
      </c>
      <c r="J341" t="str">
        <f t="shared" si="16"/>
        <v>Good</v>
      </c>
      <c r="K341" t="str">
        <f t="shared" si="17"/>
        <v>Pass</v>
      </c>
    </row>
    <row r="342" spans="1:11" x14ac:dyDescent="0.25">
      <c r="A342" t="s">
        <v>13</v>
      </c>
      <c r="B342" t="s">
        <v>18</v>
      </c>
      <c r="C342" t="s">
        <v>15</v>
      </c>
      <c r="D342" t="s">
        <v>11</v>
      </c>
      <c r="E342" t="s">
        <v>17</v>
      </c>
      <c r="F342" s="1">
        <v>60</v>
      </c>
      <c r="G342" s="1">
        <v>61</v>
      </c>
      <c r="H342" s="1">
        <v>58</v>
      </c>
      <c r="I342" s="1">
        <f t="shared" si="15"/>
        <v>59.666666666666664</v>
      </c>
      <c r="J342" t="str">
        <f t="shared" si="16"/>
        <v>Average</v>
      </c>
      <c r="K342" t="str">
        <f t="shared" si="17"/>
        <v>Pass</v>
      </c>
    </row>
    <row r="343" spans="1:11" x14ac:dyDescent="0.25">
      <c r="A343" t="s">
        <v>8</v>
      </c>
      <c r="B343" t="s">
        <v>23</v>
      </c>
      <c r="C343" t="s">
        <v>15</v>
      </c>
      <c r="D343" t="s">
        <v>16</v>
      </c>
      <c r="E343" t="s">
        <v>17</v>
      </c>
      <c r="F343" s="1">
        <v>52</v>
      </c>
      <c r="G343" s="1">
        <v>53</v>
      </c>
      <c r="H343" s="1">
        <v>47</v>
      </c>
      <c r="I343" s="1">
        <f t="shared" si="15"/>
        <v>50.666666666666664</v>
      </c>
      <c r="J343" t="str">
        <f t="shared" si="16"/>
        <v>Average</v>
      </c>
      <c r="K343" t="str">
        <f t="shared" si="17"/>
        <v>Pass</v>
      </c>
    </row>
    <row r="344" spans="1:11" x14ac:dyDescent="0.25">
      <c r="A344" t="s">
        <v>8</v>
      </c>
      <c r="B344" t="s">
        <v>23</v>
      </c>
      <c r="C344" t="s">
        <v>21</v>
      </c>
      <c r="D344" t="s">
        <v>16</v>
      </c>
      <c r="E344" t="s">
        <v>17</v>
      </c>
      <c r="F344" s="1">
        <v>61</v>
      </c>
      <c r="G344" s="1">
        <v>62</v>
      </c>
      <c r="H344" s="1">
        <v>54</v>
      </c>
      <c r="I344" s="1">
        <f t="shared" si="15"/>
        <v>59</v>
      </c>
      <c r="J344" t="str">
        <f t="shared" si="16"/>
        <v>Average</v>
      </c>
      <c r="K344" t="str">
        <f t="shared" si="17"/>
        <v>Pass</v>
      </c>
    </row>
    <row r="345" spans="1:11" x14ac:dyDescent="0.25">
      <c r="A345" t="s">
        <v>13</v>
      </c>
      <c r="B345" t="s">
        <v>14</v>
      </c>
      <c r="C345" t="s">
        <v>15</v>
      </c>
      <c r="D345" t="s">
        <v>11</v>
      </c>
      <c r="E345" t="s">
        <v>17</v>
      </c>
      <c r="F345" s="1">
        <v>55</v>
      </c>
      <c r="G345" s="1">
        <v>70</v>
      </c>
      <c r="H345" s="1">
        <v>61</v>
      </c>
      <c r="I345" s="1">
        <f t="shared" si="15"/>
        <v>62</v>
      </c>
      <c r="J345" t="str">
        <f t="shared" si="16"/>
        <v>Good</v>
      </c>
      <c r="K345" t="str">
        <f t="shared" si="17"/>
        <v>Pass</v>
      </c>
    </row>
    <row r="346" spans="1:11" x14ac:dyDescent="0.25">
      <c r="A346" t="s">
        <v>8</v>
      </c>
      <c r="B346" t="s">
        <v>20</v>
      </c>
      <c r="C346" t="s">
        <v>10</v>
      </c>
      <c r="D346" t="s">
        <v>11</v>
      </c>
      <c r="E346" t="s">
        <v>12</v>
      </c>
      <c r="F346" s="1">
        <v>80</v>
      </c>
      <c r="G346" s="1">
        <v>80</v>
      </c>
      <c r="H346" s="1">
        <v>79</v>
      </c>
      <c r="I346" s="1">
        <f t="shared" si="15"/>
        <v>79.666666666666671</v>
      </c>
      <c r="J346" t="str">
        <f t="shared" si="16"/>
        <v>Good</v>
      </c>
      <c r="K346" t="str">
        <f t="shared" si="17"/>
        <v>Pass</v>
      </c>
    </row>
    <row r="347" spans="1:11" x14ac:dyDescent="0.25">
      <c r="A347" t="s">
        <v>8</v>
      </c>
      <c r="B347" t="s">
        <v>14</v>
      </c>
      <c r="C347" t="s">
        <v>19</v>
      </c>
      <c r="D347" t="s">
        <v>16</v>
      </c>
      <c r="E347" t="s">
        <v>17</v>
      </c>
      <c r="F347" s="1">
        <v>63</v>
      </c>
      <c r="G347" s="1">
        <v>60</v>
      </c>
      <c r="H347" s="1">
        <v>54</v>
      </c>
      <c r="I347" s="1">
        <f t="shared" si="15"/>
        <v>59</v>
      </c>
      <c r="J347" t="str">
        <f t="shared" si="16"/>
        <v>Average</v>
      </c>
      <c r="K347" t="str">
        <f t="shared" si="17"/>
        <v>Pass</v>
      </c>
    </row>
    <row r="348" spans="1:11" x14ac:dyDescent="0.25">
      <c r="A348" t="s">
        <v>13</v>
      </c>
      <c r="B348" t="s">
        <v>20</v>
      </c>
      <c r="C348" t="s">
        <v>24</v>
      </c>
      <c r="D348" t="s">
        <v>11</v>
      </c>
      <c r="E348" t="s">
        <v>17</v>
      </c>
      <c r="F348" s="1">
        <v>79</v>
      </c>
      <c r="G348" s="1">
        <v>79</v>
      </c>
      <c r="H348" s="1">
        <v>87</v>
      </c>
      <c r="I348" s="1">
        <f t="shared" si="15"/>
        <v>81.666666666666671</v>
      </c>
      <c r="J348" t="str">
        <f t="shared" si="16"/>
        <v>Excellent</v>
      </c>
      <c r="K348" t="str">
        <f t="shared" si="17"/>
        <v>Pass</v>
      </c>
    </row>
    <row r="349" spans="1:11" x14ac:dyDescent="0.25">
      <c r="A349" t="s">
        <v>8</v>
      </c>
      <c r="B349" t="s">
        <v>9</v>
      </c>
      <c r="C349" t="s">
        <v>21</v>
      </c>
      <c r="D349" t="s">
        <v>11</v>
      </c>
      <c r="E349" t="s">
        <v>17</v>
      </c>
      <c r="F349" s="1">
        <v>74</v>
      </c>
      <c r="G349" s="1">
        <v>78</v>
      </c>
      <c r="H349" s="1">
        <v>72</v>
      </c>
      <c r="I349" s="1">
        <f t="shared" si="15"/>
        <v>74.666666666666671</v>
      </c>
      <c r="J349" t="str">
        <f t="shared" si="16"/>
        <v>Good</v>
      </c>
      <c r="K349" t="str">
        <f t="shared" si="17"/>
        <v>Pass</v>
      </c>
    </row>
    <row r="350" spans="1:11" x14ac:dyDescent="0.25">
      <c r="A350" t="s">
        <v>13</v>
      </c>
      <c r="B350" t="s">
        <v>20</v>
      </c>
      <c r="C350" t="s">
        <v>19</v>
      </c>
      <c r="D350" t="s">
        <v>16</v>
      </c>
      <c r="E350" t="s">
        <v>12</v>
      </c>
      <c r="F350" s="1">
        <v>46</v>
      </c>
      <c r="G350" s="1">
        <v>58</v>
      </c>
      <c r="H350" s="1">
        <v>64</v>
      </c>
      <c r="I350" s="1">
        <f t="shared" si="15"/>
        <v>56</v>
      </c>
      <c r="J350" t="str">
        <f t="shared" si="16"/>
        <v>Average</v>
      </c>
      <c r="K350" t="str">
        <f t="shared" si="17"/>
        <v>Pass</v>
      </c>
    </row>
    <row r="351" spans="1:11" x14ac:dyDescent="0.25">
      <c r="A351" t="s">
        <v>13</v>
      </c>
      <c r="B351" t="s">
        <v>20</v>
      </c>
      <c r="C351" t="s">
        <v>15</v>
      </c>
      <c r="D351" t="s">
        <v>11</v>
      </c>
      <c r="E351" t="s">
        <v>12</v>
      </c>
      <c r="F351" s="1">
        <v>72</v>
      </c>
      <c r="G351" s="1">
        <v>88</v>
      </c>
      <c r="H351" s="1">
        <v>92</v>
      </c>
      <c r="I351" s="1">
        <f t="shared" si="15"/>
        <v>84</v>
      </c>
      <c r="J351" t="str">
        <f t="shared" si="16"/>
        <v>Excellent</v>
      </c>
      <c r="K351" t="str">
        <f t="shared" si="17"/>
        <v>Pass</v>
      </c>
    </row>
    <row r="352" spans="1:11" x14ac:dyDescent="0.25">
      <c r="A352" t="s">
        <v>13</v>
      </c>
      <c r="B352" t="s">
        <v>18</v>
      </c>
      <c r="C352" t="s">
        <v>15</v>
      </c>
      <c r="D352" t="s">
        <v>16</v>
      </c>
      <c r="E352" t="s">
        <v>17</v>
      </c>
      <c r="F352" s="1">
        <v>58</v>
      </c>
      <c r="G352" s="1">
        <v>64</v>
      </c>
      <c r="H352" s="1">
        <v>64</v>
      </c>
      <c r="I352" s="1">
        <f t="shared" si="15"/>
        <v>62</v>
      </c>
      <c r="J352" t="str">
        <f t="shared" si="16"/>
        <v>Good</v>
      </c>
      <c r="K352" t="str">
        <f t="shared" si="17"/>
        <v>Pass</v>
      </c>
    </row>
    <row r="353" spans="1:11" x14ac:dyDescent="0.25">
      <c r="A353" t="s">
        <v>13</v>
      </c>
      <c r="B353" t="s">
        <v>18</v>
      </c>
      <c r="C353" t="s">
        <v>24</v>
      </c>
      <c r="D353" t="s">
        <v>11</v>
      </c>
      <c r="E353" t="s">
        <v>17</v>
      </c>
      <c r="F353" s="1">
        <v>47</v>
      </c>
      <c r="G353" s="1">
        <v>50</v>
      </c>
      <c r="H353" s="1">
        <v>47</v>
      </c>
      <c r="I353" s="1">
        <f t="shared" si="15"/>
        <v>48</v>
      </c>
      <c r="J353" t="str">
        <f t="shared" si="16"/>
        <v>Average</v>
      </c>
      <c r="K353" t="str">
        <f t="shared" si="17"/>
        <v>Pass</v>
      </c>
    </row>
    <row r="354" spans="1:11" x14ac:dyDescent="0.25">
      <c r="A354" t="s">
        <v>13</v>
      </c>
      <c r="B354" t="s">
        <v>14</v>
      </c>
      <c r="C354" t="s">
        <v>22</v>
      </c>
      <c r="D354" t="s">
        <v>11</v>
      </c>
      <c r="E354" t="s">
        <v>12</v>
      </c>
      <c r="F354" s="1">
        <v>68</v>
      </c>
      <c r="G354" s="1">
        <v>78</v>
      </c>
      <c r="H354" s="1">
        <v>84</v>
      </c>
      <c r="I354" s="1">
        <f t="shared" si="15"/>
        <v>76.666666666666671</v>
      </c>
      <c r="J354" t="str">
        <f t="shared" si="16"/>
        <v>Good</v>
      </c>
      <c r="K354" t="str">
        <f t="shared" si="17"/>
        <v>Pass</v>
      </c>
    </row>
    <row r="355" spans="1:11" x14ac:dyDescent="0.25">
      <c r="A355" t="s">
        <v>8</v>
      </c>
      <c r="B355" t="s">
        <v>14</v>
      </c>
      <c r="C355" t="s">
        <v>22</v>
      </c>
      <c r="D355" t="s">
        <v>16</v>
      </c>
      <c r="E355" t="s">
        <v>12</v>
      </c>
      <c r="F355" s="1">
        <v>68</v>
      </c>
      <c r="G355" s="1">
        <v>71</v>
      </c>
      <c r="H355" s="1">
        <v>67</v>
      </c>
      <c r="I355" s="1">
        <f t="shared" si="15"/>
        <v>68.666666666666671</v>
      </c>
      <c r="J355" t="str">
        <f t="shared" si="16"/>
        <v>Good</v>
      </c>
      <c r="K355" t="str">
        <f t="shared" si="17"/>
        <v>Pass</v>
      </c>
    </row>
    <row r="356" spans="1:11" x14ac:dyDescent="0.25">
      <c r="A356" t="s">
        <v>13</v>
      </c>
      <c r="B356" t="s">
        <v>14</v>
      </c>
      <c r="C356" t="s">
        <v>10</v>
      </c>
      <c r="D356" t="s">
        <v>11</v>
      </c>
      <c r="E356" t="s">
        <v>17</v>
      </c>
      <c r="F356" s="1">
        <v>65</v>
      </c>
      <c r="G356" s="1">
        <v>75</v>
      </c>
      <c r="H356" s="1">
        <v>68</v>
      </c>
      <c r="I356" s="1">
        <f t="shared" si="15"/>
        <v>69.333333333333329</v>
      </c>
      <c r="J356" t="str">
        <f t="shared" si="16"/>
        <v>Good</v>
      </c>
      <c r="K356" t="str">
        <f t="shared" si="17"/>
        <v>Pass</v>
      </c>
    </row>
    <row r="357" spans="1:11" x14ac:dyDescent="0.25">
      <c r="A357" t="s">
        <v>13</v>
      </c>
      <c r="B357" t="s">
        <v>20</v>
      </c>
      <c r="C357" t="s">
        <v>21</v>
      </c>
      <c r="D357" t="s">
        <v>11</v>
      </c>
      <c r="E357" t="s">
        <v>17</v>
      </c>
      <c r="F357" s="1">
        <v>50</v>
      </c>
      <c r="G357" s="1">
        <v>54</v>
      </c>
      <c r="H357" s="1">
        <v>51</v>
      </c>
      <c r="I357" s="1">
        <f t="shared" si="15"/>
        <v>51.666666666666664</v>
      </c>
      <c r="J357" t="str">
        <f t="shared" si="16"/>
        <v>Average</v>
      </c>
      <c r="K357" t="str">
        <f t="shared" si="17"/>
        <v>Pass</v>
      </c>
    </row>
    <row r="358" spans="1:11" x14ac:dyDescent="0.25">
      <c r="A358" t="s">
        <v>13</v>
      </c>
      <c r="B358" t="s">
        <v>20</v>
      </c>
      <c r="C358" t="s">
        <v>10</v>
      </c>
      <c r="D358" t="s">
        <v>16</v>
      </c>
      <c r="E358" t="s">
        <v>12</v>
      </c>
      <c r="F358" s="1">
        <v>48</v>
      </c>
      <c r="G358" s="1">
        <v>71</v>
      </c>
      <c r="H358" s="1">
        <v>68</v>
      </c>
      <c r="I358" s="1">
        <f t="shared" si="15"/>
        <v>62.333333333333336</v>
      </c>
      <c r="J358" t="str">
        <f t="shared" si="16"/>
        <v>Good</v>
      </c>
      <c r="K358" t="str">
        <f t="shared" si="17"/>
        <v>Pass</v>
      </c>
    </row>
    <row r="359" spans="1:11" x14ac:dyDescent="0.25">
      <c r="A359" t="s">
        <v>13</v>
      </c>
      <c r="B359" t="s">
        <v>20</v>
      </c>
      <c r="C359" t="s">
        <v>22</v>
      </c>
      <c r="D359" t="s">
        <v>11</v>
      </c>
      <c r="E359" t="s">
        <v>17</v>
      </c>
      <c r="F359" s="1">
        <v>58</v>
      </c>
      <c r="G359" s="1">
        <v>60</v>
      </c>
      <c r="H359" s="1">
        <v>64</v>
      </c>
      <c r="I359" s="1">
        <f t="shared" si="15"/>
        <v>60.666666666666664</v>
      </c>
      <c r="J359" t="str">
        <f t="shared" si="16"/>
        <v>Good</v>
      </c>
      <c r="K359" t="str">
        <f t="shared" si="17"/>
        <v>Pass</v>
      </c>
    </row>
    <row r="360" spans="1:11" x14ac:dyDescent="0.25">
      <c r="A360" t="s">
        <v>8</v>
      </c>
      <c r="B360" t="s">
        <v>23</v>
      </c>
      <c r="C360" t="s">
        <v>15</v>
      </c>
      <c r="D360" t="s">
        <v>16</v>
      </c>
      <c r="E360" t="s">
        <v>12</v>
      </c>
      <c r="F360" s="1">
        <v>71</v>
      </c>
      <c r="G360" s="1">
        <v>74</v>
      </c>
      <c r="H360" s="1">
        <v>68</v>
      </c>
      <c r="I360" s="1">
        <f t="shared" si="15"/>
        <v>71</v>
      </c>
      <c r="J360" t="str">
        <f t="shared" si="16"/>
        <v>Good</v>
      </c>
      <c r="K360" t="str">
        <f t="shared" si="17"/>
        <v>Pass</v>
      </c>
    </row>
    <row r="361" spans="1:11" x14ac:dyDescent="0.25">
      <c r="A361" t="s">
        <v>8</v>
      </c>
      <c r="B361" t="s">
        <v>14</v>
      </c>
      <c r="C361" t="s">
        <v>15</v>
      </c>
      <c r="D361" t="s">
        <v>16</v>
      </c>
      <c r="E361" t="s">
        <v>12</v>
      </c>
      <c r="F361" s="1">
        <v>58</v>
      </c>
      <c r="G361" s="1">
        <v>52</v>
      </c>
      <c r="H361" s="1">
        <v>48</v>
      </c>
      <c r="I361" s="1">
        <f t="shared" si="15"/>
        <v>52.666666666666664</v>
      </c>
      <c r="J361" t="str">
        <f t="shared" si="16"/>
        <v>Average</v>
      </c>
      <c r="K361" t="str">
        <f t="shared" si="17"/>
        <v>Pass</v>
      </c>
    </row>
    <row r="362" spans="1:11" x14ac:dyDescent="0.25">
      <c r="A362" t="s">
        <v>13</v>
      </c>
      <c r="B362" t="s">
        <v>9</v>
      </c>
      <c r="C362" t="s">
        <v>19</v>
      </c>
      <c r="D362" t="s">
        <v>16</v>
      </c>
      <c r="E362" t="s">
        <v>17</v>
      </c>
      <c r="F362" s="1">
        <v>66</v>
      </c>
      <c r="G362" s="1">
        <v>90</v>
      </c>
      <c r="H362" s="1">
        <v>83</v>
      </c>
      <c r="I362" s="1">
        <f t="shared" si="15"/>
        <v>79.666666666666671</v>
      </c>
      <c r="J362" t="str">
        <f t="shared" si="16"/>
        <v>Good</v>
      </c>
      <c r="K362" t="str">
        <f t="shared" si="17"/>
        <v>Pass</v>
      </c>
    </row>
    <row r="363" spans="1:11" x14ac:dyDescent="0.25">
      <c r="A363" t="s">
        <v>8</v>
      </c>
      <c r="B363" t="s">
        <v>23</v>
      </c>
      <c r="C363" t="s">
        <v>19</v>
      </c>
      <c r="D363" t="s">
        <v>16</v>
      </c>
      <c r="E363" t="s">
        <v>17</v>
      </c>
      <c r="F363" s="1">
        <v>44</v>
      </c>
      <c r="G363" s="1">
        <v>53</v>
      </c>
      <c r="H363" s="1">
        <v>43</v>
      </c>
      <c r="I363" s="1">
        <f t="shared" si="15"/>
        <v>46.666666666666664</v>
      </c>
      <c r="J363" t="str">
        <f t="shared" si="16"/>
        <v>Average</v>
      </c>
      <c r="K363" t="str">
        <f t="shared" si="17"/>
        <v>Pass</v>
      </c>
    </row>
    <row r="364" spans="1:11" x14ac:dyDescent="0.25">
      <c r="A364" t="s">
        <v>13</v>
      </c>
      <c r="B364" t="s">
        <v>20</v>
      </c>
      <c r="C364" t="s">
        <v>15</v>
      </c>
      <c r="D364" t="s">
        <v>11</v>
      </c>
      <c r="E364" t="s">
        <v>12</v>
      </c>
      <c r="F364" s="1">
        <v>51</v>
      </c>
      <c r="G364" s="1">
        <v>63</v>
      </c>
      <c r="H364" s="1">
        <v>66</v>
      </c>
      <c r="I364" s="1">
        <f t="shared" si="15"/>
        <v>60</v>
      </c>
      <c r="J364" t="str">
        <f t="shared" si="16"/>
        <v>Good</v>
      </c>
      <c r="K364" t="str">
        <f t="shared" si="17"/>
        <v>Pass</v>
      </c>
    </row>
    <row r="365" spans="1:11" x14ac:dyDescent="0.25">
      <c r="A365" t="s">
        <v>8</v>
      </c>
      <c r="B365" t="s">
        <v>9</v>
      </c>
      <c r="C365" t="s">
        <v>19</v>
      </c>
      <c r="D365" t="s">
        <v>11</v>
      </c>
      <c r="E365" t="s">
        <v>12</v>
      </c>
      <c r="F365" s="1">
        <v>78</v>
      </c>
      <c r="G365" s="1">
        <v>83</v>
      </c>
      <c r="H365" s="1">
        <v>77</v>
      </c>
      <c r="I365" s="1">
        <f t="shared" si="15"/>
        <v>79.333333333333329</v>
      </c>
      <c r="J365" t="str">
        <f t="shared" si="16"/>
        <v>Good</v>
      </c>
      <c r="K365" t="str">
        <f t="shared" si="17"/>
        <v>Pass</v>
      </c>
    </row>
    <row r="366" spans="1:11" x14ac:dyDescent="0.25">
      <c r="A366" t="s">
        <v>8</v>
      </c>
      <c r="B366" t="s">
        <v>23</v>
      </c>
      <c r="C366" t="s">
        <v>10</v>
      </c>
      <c r="D366" t="s">
        <v>11</v>
      </c>
      <c r="E366" t="s">
        <v>17</v>
      </c>
      <c r="F366" s="1">
        <v>72</v>
      </c>
      <c r="G366" s="1">
        <v>71</v>
      </c>
      <c r="H366" s="1">
        <v>65</v>
      </c>
      <c r="I366" s="1">
        <f t="shared" si="15"/>
        <v>69.333333333333329</v>
      </c>
      <c r="J366" t="str">
        <f t="shared" si="16"/>
        <v>Good</v>
      </c>
      <c r="K366" t="str">
        <f t="shared" si="17"/>
        <v>Pass</v>
      </c>
    </row>
    <row r="367" spans="1:11" x14ac:dyDescent="0.25">
      <c r="A367" t="s">
        <v>13</v>
      </c>
      <c r="B367" t="s">
        <v>14</v>
      </c>
      <c r="C367" t="s">
        <v>21</v>
      </c>
      <c r="D367" t="s">
        <v>11</v>
      </c>
      <c r="E367" t="s">
        <v>17</v>
      </c>
      <c r="F367" s="1">
        <v>60</v>
      </c>
      <c r="G367" s="1">
        <v>64</v>
      </c>
      <c r="H367" s="1">
        <v>67</v>
      </c>
      <c r="I367" s="1">
        <f t="shared" si="15"/>
        <v>63.666666666666664</v>
      </c>
      <c r="J367" t="str">
        <f t="shared" si="16"/>
        <v>Good</v>
      </c>
      <c r="K367" t="str">
        <f t="shared" si="17"/>
        <v>Pass</v>
      </c>
    </row>
    <row r="368" spans="1:11" x14ac:dyDescent="0.25">
      <c r="A368" t="s">
        <v>13</v>
      </c>
      <c r="B368" t="s">
        <v>23</v>
      </c>
      <c r="C368" t="s">
        <v>21</v>
      </c>
      <c r="D368" t="s">
        <v>16</v>
      </c>
      <c r="E368" t="s">
        <v>17</v>
      </c>
      <c r="F368" s="1">
        <v>55</v>
      </c>
      <c r="G368" s="1">
        <v>61</v>
      </c>
      <c r="H368" s="1">
        <v>60</v>
      </c>
      <c r="I368" s="1">
        <f t="shared" si="15"/>
        <v>58.666666666666664</v>
      </c>
      <c r="J368" t="str">
        <f t="shared" si="16"/>
        <v>Average</v>
      </c>
      <c r="K368" t="str">
        <f t="shared" si="17"/>
        <v>Pass</v>
      </c>
    </row>
    <row r="369" spans="1:11" x14ac:dyDescent="0.25">
      <c r="A369" t="s">
        <v>8</v>
      </c>
      <c r="B369" t="s">
        <v>20</v>
      </c>
      <c r="C369" t="s">
        <v>15</v>
      </c>
      <c r="D369" t="s">
        <v>11</v>
      </c>
      <c r="E369" t="s">
        <v>17</v>
      </c>
      <c r="F369" s="1">
        <v>64</v>
      </c>
      <c r="G369" s="1">
        <v>67</v>
      </c>
      <c r="H369" s="1">
        <v>64</v>
      </c>
      <c r="I369" s="1">
        <f t="shared" si="15"/>
        <v>65</v>
      </c>
      <c r="J369" t="str">
        <f t="shared" si="16"/>
        <v>Good</v>
      </c>
      <c r="K369" t="str">
        <f t="shared" si="17"/>
        <v>Pass</v>
      </c>
    </row>
    <row r="370" spans="1:11" x14ac:dyDescent="0.25">
      <c r="A370" t="s">
        <v>13</v>
      </c>
      <c r="B370" t="s">
        <v>23</v>
      </c>
      <c r="C370" t="s">
        <v>15</v>
      </c>
      <c r="D370" t="s">
        <v>16</v>
      </c>
      <c r="E370" t="s">
        <v>17</v>
      </c>
      <c r="F370" s="1">
        <v>57</v>
      </c>
      <c r="G370" s="1">
        <v>64</v>
      </c>
      <c r="H370" s="1">
        <v>60</v>
      </c>
      <c r="I370" s="1">
        <f t="shared" si="15"/>
        <v>60.333333333333336</v>
      </c>
      <c r="J370" t="str">
        <f t="shared" si="16"/>
        <v>Good</v>
      </c>
      <c r="K370" t="str">
        <f t="shared" si="17"/>
        <v>Pass</v>
      </c>
    </row>
    <row r="371" spans="1:11" x14ac:dyDescent="0.25">
      <c r="A371" t="s">
        <v>13</v>
      </c>
      <c r="B371" t="s">
        <v>9</v>
      </c>
      <c r="C371" t="s">
        <v>10</v>
      </c>
      <c r="D371" t="s">
        <v>11</v>
      </c>
      <c r="E371" t="s">
        <v>17</v>
      </c>
      <c r="F371" s="1">
        <v>70</v>
      </c>
      <c r="G371" s="1">
        <v>75</v>
      </c>
      <c r="H371" s="1">
        <v>74</v>
      </c>
      <c r="I371" s="1">
        <f t="shared" si="15"/>
        <v>73</v>
      </c>
      <c r="J371" t="str">
        <f t="shared" si="16"/>
        <v>Good</v>
      </c>
      <c r="K371" t="str">
        <f t="shared" si="17"/>
        <v>Pass</v>
      </c>
    </row>
    <row r="372" spans="1:11" x14ac:dyDescent="0.25">
      <c r="A372" t="s">
        <v>8</v>
      </c>
      <c r="B372" t="s">
        <v>14</v>
      </c>
      <c r="C372" t="s">
        <v>15</v>
      </c>
      <c r="D372" t="s">
        <v>11</v>
      </c>
      <c r="E372" t="s">
        <v>12</v>
      </c>
      <c r="F372" s="1">
        <v>84</v>
      </c>
      <c r="G372" s="1">
        <v>72</v>
      </c>
      <c r="H372" s="1">
        <v>76</v>
      </c>
      <c r="I372" s="1">
        <f t="shared" si="15"/>
        <v>77.333333333333329</v>
      </c>
      <c r="J372" t="str">
        <f t="shared" si="16"/>
        <v>Good</v>
      </c>
      <c r="K372" t="str">
        <f t="shared" si="17"/>
        <v>Pass</v>
      </c>
    </row>
    <row r="373" spans="1:11" x14ac:dyDescent="0.25">
      <c r="A373" t="s">
        <v>13</v>
      </c>
      <c r="B373" t="s">
        <v>20</v>
      </c>
      <c r="C373" t="s">
        <v>19</v>
      </c>
      <c r="D373" t="s">
        <v>11</v>
      </c>
      <c r="E373" t="s">
        <v>12</v>
      </c>
      <c r="F373" s="1">
        <v>66</v>
      </c>
      <c r="G373" s="1">
        <v>71</v>
      </c>
      <c r="H373" s="1">
        <v>76</v>
      </c>
      <c r="I373" s="1">
        <f t="shared" si="15"/>
        <v>71</v>
      </c>
      <c r="J373" t="str">
        <f t="shared" si="16"/>
        <v>Good</v>
      </c>
      <c r="K373" t="str">
        <f t="shared" si="17"/>
        <v>Pass</v>
      </c>
    </row>
    <row r="374" spans="1:11" x14ac:dyDescent="0.25">
      <c r="A374" t="s">
        <v>13</v>
      </c>
      <c r="B374" t="s">
        <v>23</v>
      </c>
      <c r="C374" t="s">
        <v>22</v>
      </c>
      <c r="D374" t="s">
        <v>16</v>
      </c>
      <c r="E374" t="s">
        <v>12</v>
      </c>
      <c r="F374" s="1">
        <v>56</v>
      </c>
      <c r="G374" s="1">
        <v>65</v>
      </c>
      <c r="H374" s="1">
        <v>73</v>
      </c>
      <c r="I374" s="1">
        <f t="shared" si="15"/>
        <v>64.666666666666671</v>
      </c>
      <c r="J374" t="str">
        <f t="shared" si="16"/>
        <v>Good</v>
      </c>
      <c r="K374" t="str">
        <f t="shared" si="17"/>
        <v>Pass</v>
      </c>
    </row>
    <row r="375" spans="1:11" x14ac:dyDescent="0.25">
      <c r="A375" t="s">
        <v>8</v>
      </c>
      <c r="B375" t="s">
        <v>18</v>
      </c>
      <c r="C375" t="s">
        <v>19</v>
      </c>
      <c r="D375" t="s">
        <v>16</v>
      </c>
      <c r="E375" t="s">
        <v>12</v>
      </c>
      <c r="F375" s="1">
        <v>59</v>
      </c>
      <c r="G375" s="1">
        <v>53</v>
      </c>
      <c r="H375" s="1">
        <v>56</v>
      </c>
      <c r="I375" s="1">
        <f t="shared" si="15"/>
        <v>56</v>
      </c>
      <c r="J375" t="str">
        <f t="shared" si="16"/>
        <v>Average</v>
      </c>
      <c r="K375" t="str">
        <f t="shared" si="17"/>
        <v>Pass</v>
      </c>
    </row>
    <row r="376" spans="1:11" x14ac:dyDescent="0.25">
      <c r="A376" t="s">
        <v>13</v>
      </c>
      <c r="B376" t="s">
        <v>18</v>
      </c>
      <c r="C376" t="s">
        <v>22</v>
      </c>
      <c r="D376" t="s">
        <v>11</v>
      </c>
      <c r="E376" t="s">
        <v>17</v>
      </c>
      <c r="F376" s="1">
        <v>87</v>
      </c>
      <c r="G376" s="1">
        <v>89</v>
      </c>
      <c r="H376" s="1">
        <v>84</v>
      </c>
      <c r="I376" s="1">
        <f t="shared" si="15"/>
        <v>86.666666666666671</v>
      </c>
      <c r="J376" t="str">
        <f t="shared" si="16"/>
        <v>Excellent</v>
      </c>
      <c r="K376" t="str">
        <f t="shared" si="17"/>
        <v>Pass</v>
      </c>
    </row>
    <row r="377" spans="1:11" x14ac:dyDescent="0.25">
      <c r="A377" t="s">
        <v>8</v>
      </c>
      <c r="B377" t="s">
        <v>18</v>
      </c>
      <c r="C377" t="s">
        <v>10</v>
      </c>
      <c r="D377" t="s">
        <v>16</v>
      </c>
      <c r="E377" t="s">
        <v>17</v>
      </c>
      <c r="F377" s="1">
        <v>73</v>
      </c>
      <c r="G377" s="1">
        <v>75</v>
      </c>
      <c r="H377" s="1">
        <v>64</v>
      </c>
      <c r="I377" s="1">
        <f t="shared" si="15"/>
        <v>70.666666666666671</v>
      </c>
      <c r="J377" t="str">
        <f t="shared" si="16"/>
        <v>Good</v>
      </c>
      <c r="K377" t="str">
        <f t="shared" si="17"/>
        <v>Pass</v>
      </c>
    </row>
    <row r="378" spans="1:11" x14ac:dyDescent="0.25">
      <c r="A378" t="s">
        <v>13</v>
      </c>
      <c r="B378" t="s">
        <v>9</v>
      </c>
      <c r="C378" t="s">
        <v>10</v>
      </c>
      <c r="D378" t="s">
        <v>11</v>
      </c>
      <c r="E378" t="s">
        <v>17</v>
      </c>
      <c r="F378" s="1">
        <v>85</v>
      </c>
      <c r="G378" s="1">
        <v>91</v>
      </c>
      <c r="H378" s="1">
        <v>89</v>
      </c>
      <c r="I378" s="1">
        <f t="shared" si="15"/>
        <v>88.333333333333329</v>
      </c>
      <c r="J378" t="str">
        <f t="shared" si="16"/>
        <v>Excellent</v>
      </c>
      <c r="K378" t="str">
        <f t="shared" si="17"/>
        <v>Pass</v>
      </c>
    </row>
    <row r="379" spans="1:11" x14ac:dyDescent="0.25">
      <c r="A379" t="s">
        <v>8</v>
      </c>
      <c r="B379" t="s">
        <v>20</v>
      </c>
      <c r="C379" t="s">
        <v>19</v>
      </c>
      <c r="D379" t="s">
        <v>16</v>
      </c>
      <c r="E379" t="s">
        <v>17</v>
      </c>
      <c r="F379" s="1">
        <v>49</v>
      </c>
      <c r="G379" s="1">
        <v>54</v>
      </c>
      <c r="H379" s="1">
        <v>42</v>
      </c>
      <c r="I379" s="1">
        <f t="shared" si="15"/>
        <v>48.333333333333336</v>
      </c>
      <c r="J379" t="str">
        <f t="shared" si="16"/>
        <v>Average</v>
      </c>
      <c r="K379" t="str">
        <f t="shared" si="17"/>
        <v>Pass</v>
      </c>
    </row>
    <row r="380" spans="1:11" x14ac:dyDescent="0.25">
      <c r="A380" t="s">
        <v>13</v>
      </c>
      <c r="B380" t="s">
        <v>23</v>
      </c>
      <c r="C380" t="s">
        <v>22</v>
      </c>
      <c r="D380" t="s">
        <v>11</v>
      </c>
      <c r="E380" t="s">
        <v>12</v>
      </c>
      <c r="F380" s="1">
        <v>82</v>
      </c>
      <c r="G380" s="1">
        <v>87</v>
      </c>
      <c r="H380" s="1">
        <v>90</v>
      </c>
      <c r="I380" s="1">
        <f t="shared" si="15"/>
        <v>86.333333333333329</v>
      </c>
      <c r="J380" t="str">
        <f t="shared" si="16"/>
        <v>Excellent</v>
      </c>
      <c r="K380" t="str">
        <f t="shared" si="17"/>
        <v>Pass</v>
      </c>
    </row>
    <row r="381" spans="1:11" x14ac:dyDescent="0.25">
      <c r="A381" t="s">
        <v>13</v>
      </c>
      <c r="B381" t="s">
        <v>14</v>
      </c>
      <c r="C381" t="s">
        <v>19</v>
      </c>
      <c r="D381" t="s">
        <v>11</v>
      </c>
      <c r="E381" t="s">
        <v>17</v>
      </c>
      <c r="F381" s="1">
        <v>80</v>
      </c>
      <c r="G381" s="1">
        <v>90</v>
      </c>
      <c r="H381" s="1">
        <v>90</v>
      </c>
      <c r="I381" s="1">
        <f t="shared" si="15"/>
        <v>86.666666666666671</v>
      </c>
      <c r="J381" t="str">
        <f t="shared" si="16"/>
        <v>Excellent</v>
      </c>
      <c r="K381" t="str">
        <f t="shared" si="17"/>
        <v>Pass</v>
      </c>
    </row>
    <row r="382" spans="1:11" x14ac:dyDescent="0.25">
      <c r="A382" t="s">
        <v>13</v>
      </c>
      <c r="B382" t="s">
        <v>18</v>
      </c>
      <c r="C382" t="s">
        <v>10</v>
      </c>
      <c r="D382" t="s">
        <v>11</v>
      </c>
      <c r="E382" t="s">
        <v>17</v>
      </c>
      <c r="F382" s="1">
        <v>48</v>
      </c>
      <c r="G382" s="1">
        <v>51</v>
      </c>
      <c r="H382" s="1">
        <v>43</v>
      </c>
      <c r="I382" s="1">
        <f t="shared" si="15"/>
        <v>47.333333333333336</v>
      </c>
      <c r="J382" t="str">
        <f t="shared" si="16"/>
        <v>Average</v>
      </c>
      <c r="K382" t="str">
        <f t="shared" si="17"/>
        <v>Pass</v>
      </c>
    </row>
    <row r="383" spans="1:11" x14ac:dyDescent="0.25">
      <c r="A383" t="s">
        <v>13</v>
      </c>
      <c r="B383" t="s">
        <v>14</v>
      </c>
      <c r="C383" t="s">
        <v>10</v>
      </c>
      <c r="D383" t="s">
        <v>11</v>
      </c>
      <c r="E383" t="s">
        <v>12</v>
      </c>
      <c r="F383" s="1">
        <v>85</v>
      </c>
      <c r="G383" s="1">
        <v>83</v>
      </c>
      <c r="H383" s="1">
        <v>94</v>
      </c>
      <c r="I383" s="1">
        <f t="shared" si="15"/>
        <v>87.333333333333329</v>
      </c>
      <c r="J383" t="str">
        <f t="shared" si="16"/>
        <v>Excellent</v>
      </c>
      <c r="K383" t="str">
        <f t="shared" si="17"/>
        <v>Pass</v>
      </c>
    </row>
    <row r="384" spans="1:11" x14ac:dyDescent="0.25">
      <c r="A384" t="s">
        <v>13</v>
      </c>
      <c r="B384" t="s">
        <v>18</v>
      </c>
      <c r="C384" t="s">
        <v>15</v>
      </c>
      <c r="D384" t="s">
        <v>11</v>
      </c>
      <c r="E384" t="s">
        <v>12</v>
      </c>
      <c r="F384" s="1">
        <v>70</v>
      </c>
      <c r="G384" s="1">
        <v>78</v>
      </c>
      <c r="H384" s="1">
        <v>76</v>
      </c>
      <c r="I384" s="1">
        <f t="shared" si="15"/>
        <v>74.666666666666671</v>
      </c>
      <c r="J384" t="str">
        <f t="shared" si="16"/>
        <v>Good</v>
      </c>
      <c r="K384" t="str">
        <f t="shared" si="17"/>
        <v>Pass</v>
      </c>
    </row>
    <row r="385" spans="1:11" x14ac:dyDescent="0.25">
      <c r="A385" t="s">
        <v>8</v>
      </c>
      <c r="B385" t="s">
        <v>18</v>
      </c>
      <c r="C385" t="s">
        <v>21</v>
      </c>
      <c r="D385" t="s">
        <v>11</v>
      </c>
      <c r="E385" t="s">
        <v>12</v>
      </c>
      <c r="F385" s="1">
        <v>89</v>
      </c>
      <c r="G385" s="1">
        <v>84</v>
      </c>
      <c r="H385" s="1">
        <v>81</v>
      </c>
      <c r="I385" s="1">
        <f t="shared" si="15"/>
        <v>84.666666666666671</v>
      </c>
      <c r="J385" t="str">
        <f t="shared" si="16"/>
        <v>Excellent</v>
      </c>
      <c r="K385" t="str">
        <f t="shared" si="17"/>
        <v>Pass</v>
      </c>
    </row>
    <row r="386" spans="1:11" x14ac:dyDescent="0.25">
      <c r="A386" t="s">
        <v>13</v>
      </c>
      <c r="B386" t="s">
        <v>14</v>
      </c>
      <c r="C386" t="s">
        <v>10</v>
      </c>
      <c r="D386" t="s">
        <v>11</v>
      </c>
      <c r="E386" t="s">
        <v>12</v>
      </c>
      <c r="F386" s="1">
        <v>72</v>
      </c>
      <c r="G386" s="1">
        <v>86</v>
      </c>
      <c r="H386" s="1">
        <v>79</v>
      </c>
      <c r="I386" s="1">
        <f t="shared" ref="I386:I449" si="18">AVERAGE(F386:H386)</f>
        <v>79</v>
      </c>
      <c r="J386" t="str">
        <f t="shared" ref="J386:J449" si="19">IF(I386&gt;=80,"Excellent", IF(I386&gt;=60,"Good", IF(I386&gt;=40,"Average","Poor")))</f>
        <v>Good</v>
      </c>
      <c r="K386" t="str">
        <f t="shared" ref="K386:K449" si="20">IF(I386&gt;=40, "Pass","Fail")</f>
        <v>Pass</v>
      </c>
    </row>
    <row r="387" spans="1:11" x14ac:dyDescent="0.25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 s="1">
        <v>80</v>
      </c>
      <c r="G387" s="1">
        <v>86</v>
      </c>
      <c r="H387" s="1">
        <v>87</v>
      </c>
      <c r="I387" s="1">
        <f t="shared" si="18"/>
        <v>84.333333333333329</v>
      </c>
      <c r="J387" t="str">
        <f t="shared" si="19"/>
        <v>Excellent</v>
      </c>
      <c r="K387" t="str">
        <f t="shared" si="20"/>
        <v>Pass</v>
      </c>
    </row>
    <row r="388" spans="1:11" x14ac:dyDescent="0.25">
      <c r="A388" t="s">
        <v>13</v>
      </c>
      <c r="B388" t="s">
        <v>14</v>
      </c>
      <c r="C388" t="s">
        <v>15</v>
      </c>
      <c r="D388" t="s">
        <v>16</v>
      </c>
      <c r="E388" t="s">
        <v>17</v>
      </c>
      <c r="F388" s="1">
        <v>43</v>
      </c>
      <c r="G388" s="1">
        <v>57</v>
      </c>
      <c r="H388" s="1">
        <v>50</v>
      </c>
      <c r="I388" s="1">
        <f t="shared" si="18"/>
        <v>50</v>
      </c>
      <c r="J388" t="str">
        <f t="shared" si="19"/>
        <v>Average</v>
      </c>
      <c r="K388" t="str">
        <f t="shared" si="20"/>
        <v>Pass</v>
      </c>
    </row>
    <row r="389" spans="1:11" x14ac:dyDescent="0.25">
      <c r="A389" t="s">
        <v>8</v>
      </c>
      <c r="B389" t="s">
        <v>23</v>
      </c>
      <c r="C389" t="s">
        <v>15</v>
      </c>
      <c r="D389" t="s">
        <v>16</v>
      </c>
      <c r="E389" t="s">
        <v>12</v>
      </c>
      <c r="F389" s="1">
        <v>54</v>
      </c>
      <c r="G389" s="1">
        <v>61</v>
      </c>
      <c r="H389" s="1">
        <v>61</v>
      </c>
      <c r="I389" s="1">
        <f t="shared" si="18"/>
        <v>58.666666666666664</v>
      </c>
      <c r="J389" t="str">
        <f t="shared" si="19"/>
        <v>Average</v>
      </c>
      <c r="K389" t="str">
        <f t="shared" si="20"/>
        <v>Pass</v>
      </c>
    </row>
    <row r="390" spans="1:11" x14ac:dyDescent="0.25">
      <c r="A390" t="s">
        <v>8</v>
      </c>
      <c r="B390" t="s">
        <v>9</v>
      </c>
      <c r="C390" t="s">
        <v>21</v>
      </c>
      <c r="D390" t="s">
        <v>16</v>
      </c>
      <c r="E390" t="s">
        <v>12</v>
      </c>
      <c r="F390" s="1">
        <v>82</v>
      </c>
      <c r="G390" s="1">
        <v>82</v>
      </c>
      <c r="H390" s="1">
        <v>78</v>
      </c>
      <c r="I390" s="1">
        <f t="shared" si="18"/>
        <v>80.666666666666671</v>
      </c>
      <c r="J390" t="str">
        <f t="shared" si="19"/>
        <v>Excellent</v>
      </c>
      <c r="K390" t="str">
        <f t="shared" si="20"/>
        <v>Pass</v>
      </c>
    </row>
    <row r="391" spans="1:11" x14ac:dyDescent="0.25">
      <c r="A391" t="s">
        <v>8</v>
      </c>
      <c r="B391" t="s">
        <v>23</v>
      </c>
      <c r="C391" t="s">
        <v>22</v>
      </c>
      <c r="D391" t="s">
        <v>16</v>
      </c>
      <c r="E391" t="s">
        <v>17</v>
      </c>
      <c r="F391" s="1">
        <v>74</v>
      </c>
      <c r="G391" s="1">
        <v>80</v>
      </c>
      <c r="H391" s="1">
        <v>78</v>
      </c>
      <c r="I391" s="1">
        <f t="shared" si="18"/>
        <v>77.333333333333329</v>
      </c>
      <c r="J391" t="str">
        <f t="shared" si="19"/>
        <v>Good</v>
      </c>
      <c r="K391" t="str">
        <f t="shared" si="20"/>
        <v>Pass</v>
      </c>
    </row>
    <row r="392" spans="1:11" x14ac:dyDescent="0.25">
      <c r="A392" t="s">
        <v>13</v>
      </c>
      <c r="B392" t="s">
        <v>23</v>
      </c>
      <c r="C392" t="s">
        <v>19</v>
      </c>
      <c r="D392" t="s">
        <v>11</v>
      </c>
      <c r="E392" t="s">
        <v>17</v>
      </c>
      <c r="F392" s="1">
        <v>63</v>
      </c>
      <c r="G392" s="1">
        <v>62</v>
      </c>
      <c r="H392" s="1">
        <v>64</v>
      </c>
      <c r="I392" s="1">
        <f t="shared" si="18"/>
        <v>63</v>
      </c>
      <c r="J392" t="str">
        <f t="shared" si="19"/>
        <v>Good</v>
      </c>
      <c r="K392" t="str">
        <f t="shared" si="20"/>
        <v>Pass</v>
      </c>
    </row>
    <row r="393" spans="1:11" x14ac:dyDescent="0.25">
      <c r="A393" t="s">
        <v>13</v>
      </c>
      <c r="B393" t="s">
        <v>23</v>
      </c>
      <c r="C393" t="s">
        <v>10</v>
      </c>
      <c r="D393" t="s">
        <v>16</v>
      </c>
      <c r="E393" t="s">
        <v>17</v>
      </c>
      <c r="F393" s="1">
        <v>47</v>
      </c>
      <c r="G393" s="1">
        <v>56</v>
      </c>
      <c r="H393" s="1">
        <v>51</v>
      </c>
      <c r="I393" s="1">
        <f t="shared" si="18"/>
        <v>51.333333333333336</v>
      </c>
      <c r="J393" t="str">
        <f t="shared" si="19"/>
        <v>Average</v>
      </c>
      <c r="K393" t="str">
        <f t="shared" si="20"/>
        <v>Pass</v>
      </c>
    </row>
    <row r="394" spans="1:11" x14ac:dyDescent="0.25">
      <c r="A394" t="s">
        <v>13</v>
      </c>
      <c r="B394" t="s">
        <v>23</v>
      </c>
      <c r="C394" t="s">
        <v>19</v>
      </c>
      <c r="D394" t="s">
        <v>16</v>
      </c>
      <c r="E394" t="s">
        <v>17</v>
      </c>
      <c r="F394" s="1">
        <v>13</v>
      </c>
      <c r="G394" s="1">
        <v>29</v>
      </c>
      <c r="H394" s="1">
        <v>23</v>
      </c>
      <c r="I394" s="1">
        <f t="shared" si="18"/>
        <v>21.666666666666668</v>
      </c>
      <c r="J394" t="str">
        <f t="shared" si="19"/>
        <v>Poor</v>
      </c>
      <c r="K394" t="str">
        <f t="shared" si="20"/>
        <v>Fail</v>
      </c>
    </row>
    <row r="395" spans="1:11" x14ac:dyDescent="0.25">
      <c r="A395" t="s">
        <v>8</v>
      </c>
      <c r="B395" t="s">
        <v>14</v>
      </c>
      <c r="C395" t="s">
        <v>19</v>
      </c>
      <c r="D395" t="s">
        <v>16</v>
      </c>
      <c r="E395" t="s">
        <v>17</v>
      </c>
      <c r="F395" s="1">
        <v>67</v>
      </c>
      <c r="G395" s="1">
        <v>58</v>
      </c>
      <c r="H395" s="1">
        <v>56</v>
      </c>
      <c r="I395" s="1">
        <f t="shared" si="18"/>
        <v>60.333333333333336</v>
      </c>
      <c r="J395" t="str">
        <f t="shared" si="19"/>
        <v>Good</v>
      </c>
      <c r="K395" t="str">
        <f t="shared" si="20"/>
        <v>Pass</v>
      </c>
    </row>
    <row r="396" spans="1:11" x14ac:dyDescent="0.25">
      <c r="A396" t="s">
        <v>8</v>
      </c>
      <c r="B396" t="s">
        <v>23</v>
      </c>
      <c r="C396" t="s">
        <v>15</v>
      </c>
      <c r="D396" t="s">
        <v>11</v>
      </c>
      <c r="E396" t="s">
        <v>17</v>
      </c>
      <c r="F396" s="1">
        <v>57</v>
      </c>
      <c r="G396" s="1">
        <v>59</v>
      </c>
      <c r="H396" s="1">
        <v>54</v>
      </c>
      <c r="I396" s="1">
        <f t="shared" si="18"/>
        <v>56.666666666666664</v>
      </c>
      <c r="J396" t="str">
        <f t="shared" si="19"/>
        <v>Average</v>
      </c>
      <c r="K396" t="str">
        <f t="shared" si="20"/>
        <v>Pass</v>
      </c>
    </row>
    <row r="397" spans="1:11" x14ac:dyDescent="0.25">
      <c r="A397" t="s">
        <v>13</v>
      </c>
      <c r="B397" t="s">
        <v>20</v>
      </c>
      <c r="C397" t="s">
        <v>15</v>
      </c>
      <c r="D397" t="s">
        <v>11</v>
      </c>
      <c r="E397" t="s">
        <v>17</v>
      </c>
      <c r="F397" s="1">
        <v>64</v>
      </c>
      <c r="G397" s="1">
        <v>78</v>
      </c>
      <c r="H397" s="1">
        <v>83</v>
      </c>
      <c r="I397" s="1">
        <f t="shared" si="18"/>
        <v>75</v>
      </c>
      <c r="J397" t="str">
        <f t="shared" si="19"/>
        <v>Good</v>
      </c>
      <c r="K397" t="str">
        <f t="shared" si="20"/>
        <v>Pass</v>
      </c>
    </row>
    <row r="398" spans="1:11" x14ac:dyDescent="0.25">
      <c r="A398" t="s">
        <v>13</v>
      </c>
      <c r="B398" t="s">
        <v>14</v>
      </c>
      <c r="C398" t="s">
        <v>21</v>
      </c>
      <c r="D398" t="s">
        <v>11</v>
      </c>
      <c r="E398" t="s">
        <v>17</v>
      </c>
      <c r="F398" s="1">
        <v>85</v>
      </c>
      <c r="G398" s="1">
        <v>100</v>
      </c>
      <c r="H398" s="1">
        <v>100</v>
      </c>
      <c r="I398" s="1">
        <f t="shared" si="18"/>
        <v>95</v>
      </c>
      <c r="J398" t="str">
        <f t="shared" si="19"/>
        <v>Excellent</v>
      </c>
      <c r="K398" t="str">
        <f t="shared" si="20"/>
        <v>Pass</v>
      </c>
    </row>
    <row r="399" spans="1:11" x14ac:dyDescent="0.25">
      <c r="A399" t="s">
        <v>13</v>
      </c>
      <c r="B399" t="s">
        <v>20</v>
      </c>
      <c r="C399" t="s">
        <v>21</v>
      </c>
      <c r="D399" t="s">
        <v>11</v>
      </c>
      <c r="E399" t="s">
        <v>12</v>
      </c>
      <c r="F399" s="1">
        <v>70</v>
      </c>
      <c r="G399" s="1">
        <v>80</v>
      </c>
      <c r="H399" s="1">
        <v>86</v>
      </c>
      <c r="I399" s="1">
        <f t="shared" si="18"/>
        <v>78.666666666666671</v>
      </c>
      <c r="J399" t="str">
        <f t="shared" si="19"/>
        <v>Good</v>
      </c>
      <c r="K399" t="str">
        <f t="shared" si="20"/>
        <v>Pass</v>
      </c>
    </row>
    <row r="400" spans="1:11" x14ac:dyDescent="0.25">
      <c r="A400" t="s">
        <v>8</v>
      </c>
      <c r="B400" t="s">
        <v>20</v>
      </c>
      <c r="C400" t="s">
        <v>22</v>
      </c>
      <c r="D400" t="s">
        <v>11</v>
      </c>
      <c r="E400" t="s">
        <v>12</v>
      </c>
      <c r="F400" s="1">
        <v>90</v>
      </c>
      <c r="G400" s="1">
        <v>73</v>
      </c>
      <c r="H400" s="1">
        <v>83</v>
      </c>
      <c r="I400" s="1">
        <f t="shared" si="18"/>
        <v>82</v>
      </c>
      <c r="J400" t="str">
        <f t="shared" si="19"/>
        <v>Excellent</v>
      </c>
      <c r="K400" t="str">
        <f t="shared" si="20"/>
        <v>Pass</v>
      </c>
    </row>
    <row r="401" spans="1:11" x14ac:dyDescent="0.25">
      <c r="A401" t="s">
        <v>13</v>
      </c>
      <c r="B401" t="s">
        <v>9</v>
      </c>
      <c r="C401" t="s">
        <v>19</v>
      </c>
      <c r="D401" t="s">
        <v>16</v>
      </c>
      <c r="E401" t="s">
        <v>12</v>
      </c>
      <c r="F401" s="1">
        <v>53</v>
      </c>
      <c r="G401" s="1">
        <v>70</v>
      </c>
      <c r="H401" s="1">
        <v>69</v>
      </c>
      <c r="I401" s="1">
        <f t="shared" si="18"/>
        <v>64</v>
      </c>
      <c r="J401" t="str">
        <f t="shared" si="19"/>
        <v>Good</v>
      </c>
      <c r="K401" t="str">
        <f t="shared" si="20"/>
        <v>Pass</v>
      </c>
    </row>
    <row r="402" spans="1:11" x14ac:dyDescent="0.25">
      <c r="A402" t="s">
        <v>8</v>
      </c>
      <c r="B402" t="s">
        <v>23</v>
      </c>
      <c r="C402" t="s">
        <v>19</v>
      </c>
      <c r="D402" t="s">
        <v>11</v>
      </c>
      <c r="E402" t="s">
        <v>12</v>
      </c>
      <c r="F402" s="1">
        <v>74</v>
      </c>
      <c r="G402" s="1">
        <v>73</v>
      </c>
      <c r="H402" s="1">
        <v>75</v>
      </c>
      <c r="I402" s="1">
        <f t="shared" si="18"/>
        <v>74</v>
      </c>
      <c r="J402" t="str">
        <f t="shared" si="19"/>
        <v>Good</v>
      </c>
      <c r="K402" t="str">
        <f t="shared" si="20"/>
        <v>Pass</v>
      </c>
    </row>
    <row r="403" spans="1:11" x14ac:dyDescent="0.25">
      <c r="A403" t="s">
        <v>8</v>
      </c>
      <c r="B403" t="s">
        <v>9</v>
      </c>
      <c r="C403" t="s">
        <v>21</v>
      </c>
      <c r="D403" t="s">
        <v>11</v>
      </c>
      <c r="E403" t="s">
        <v>12</v>
      </c>
      <c r="F403" s="1">
        <v>61</v>
      </c>
      <c r="G403" s="1">
        <v>71</v>
      </c>
      <c r="H403" s="1">
        <v>67</v>
      </c>
      <c r="I403" s="1">
        <f t="shared" si="18"/>
        <v>66.333333333333329</v>
      </c>
      <c r="J403" t="str">
        <f t="shared" si="19"/>
        <v>Good</v>
      </c>
      <c r="K403" t="str">
        <f t="shared" si="20"/>
        <v>Pass</v>
      </c>
    </row>
    <row r="404" spans="1:11" x14ac:dyDescent="0.25">
      <c r="A404" t="s">
        <v>13</v>
      </c>
      <c r="B404" t="s">
        <v>23</v>
      </c>
      <c r="C404" t="s">
        <v>15</v>
      </c>
      <c r="D404" t="s">
        <v>11</v>
      </c>
      <c r="E404" t="s">
        <v>12</v>
      </c>
      <c r="F404" s="1">
        <v>55</v>
      </c>
      <c r="G404" s="1">
        <v>74</v>
      </c>
      <c r="H404" s="1">
        <v>73</v>
      </c>
      <c r="I404" s="1">
        <f t="shared" si="18"/>
        <v>67.333333333333329</v>
      </c>
      <c r="J404" t="str">
        <f t="shared" si="19"/>
        <v>Good</v>
      </c>
      <c r="K404" t="str">
        <f t="shared" si="20"/>
        <v>Pass</v>
      </c>
    </row>
    <row r="405" spans="1:11" x14ac:dyDescent="0.25">
      <c r="A405" t="s">
        <v>13</v>
      </c>
      <c r="B405" t="s">
        <v>20</v>
      </c>
      <c r="C405" t="s">
        <v>19</v>
      </c>
      <c r="D405" t="s">
        <v>11</v>
      </c>
      <c r="E405" t="s">
        <v>12</v>
      </c>
      <c r="F405" s="1">
        <v>65</v>
      </c>
      <c r="G405" s="1">
        <v>63</v>
      </c>
      <c r="H405" s="1">
        <v>66</v>
      </c>
      <c r="I405" s="1">
        <f t="shared" si="18"/>
        <v>64.666666666666671</v>
      </c>
      <c r="J405" t="str">
        <f t="shared" si="19"/>
        <v>Good</v>
      </c>
      <c r="K405" t="str">
        <f t="shared" si="20"/>
        <v>Pass</v>
      </c>
    </row>
    <row r="406" spans="1:11" x14ac:dyDescent="0.25">
      <c r="A406" t="s">
        <v>13</v>
      </c>
      <c r="B406" t="s">
        <v>9</v>
      </c>
      <c r="C406" t="s">
        <v>10</v>
      </c>
      <c r="D406" t="s">
        <v>11</v>
      </c>
      <c r="E406" t="s">
        <v>17</v>
      </c>
      <c r="F406" s="1">
        <v>77</v>
      </c>
      <c r="G406" s="1">
        <v>77</v>
      </c>
      <c r="H406" s="1">
        <v>79</v>
      </c>
      <c r="I406" s="1">
        <f t="shared" si="18"/>
        <v>77.666666666666671</v>
      </c>
      <c r="J406" t="str">
        <f t="shared" si="19"/>
        <v>Good</v>
      </c>
      <c r="K406" t="str">
        <f t="shared" si="20"/>
        <v>Pass</v>
      </c>
    </row>
    <row r="407" spans="1:11" x14ac:dyDescent="0.25">
      <c r="A407" t="s">
        <v>8</v>
      </c>
      <c r="B407" t="s">
        <v>23</v>
      </c>
      <c r="C407" t="s">
        <v>21</v>
      </c>
      <c r="D407" t="s">
        <v>11</v>
      </c>
      <c r="E407" t="s">
        <v>17</v>
      </c>
      <c r="F407" s="1">
        <v>74</v>
      </c>
      <c r="G407" s="1">
        <v>61</v>
      </c>
      <c r="H407" s="1">
        <v>56</v>
      </c>
      <c r="I407" s="1">
        <f t="shared" si="18"/>
        <v>63.666666666666664</v>
      </c>
      <c r="J407" t="str">
        <f t="shared" si="19"/>
        <v>Good</v>
      </c>
      <c r="K407" t="str">
        <f t="shared" si="20"/>
        <v>Pass</v>
      </c>
    </row>
    <row r="408" spans="1:11" x14ac:dyDescent="0.25">
      <c r="A408" t="s">
        <v>8</v>
      </c>
      <c r="B408" t="s">
        <v>14</v>
      </c>
      <c r="C408" t="s">
        <v>19</v>
      </c>
      <c r="D408" t="s">
        <v>11</v>
      </c>
      <c r="E408" t="s">
        <v>17</v>
      </c>
      <c r="F408" s="1">
        <v>94</v>
      </c>
      <c r="G408" s="1">
        <v>92</v>
      </c>
      <c r="H408" s="1">
        <v>85</v>
      </c>
      <c r="I408" s="1">
        <f t="shared" si="18"/>
        <v>90.333333333333329</v>
      </c>
      <c r="J408" t="str">
        <f t="shared" si="19"/>
        <v>Excellent</v>
      </c>
      <c r="K408" t="str">
        <f t="shared" si="20"/>
        <v>Pass</v>
      </c>
    </row>
    <row r="409" spans="1:11" x14ac:dyDescent="0.25">
      <c r="A409" t="s">
        <v>13</v>
      </c>
      <c r="B409" t="s">
        <v>20</v>
      </c>
      <c r="C409" t="s">
        <v>21</v>
      </c>
      <c r="D409" t="s">
        <v>11</v>
      </c>
      <c r="E409" t="s">
        <v>12</v>
      </c>
      <c r="F409" s="1">
        <v>54</v>
      </c>
      <c r="G409" s="1">
        <v>64</v>
      </c>
      <c r="H409" s="1">
        <v>68</v>
      </c>
      <c r="I409" s="1">
        <f t="shared" si="18"/>
        <v>62</v>
      </c>
      <c r="J409" t="str">
        <f t="shared" si="19"/>
        <v>Good</v>
      </c>
      <c r="K409" t="str">
        <f t="shared" si="20"/>
        <v>Pass</v>
      </c>
    </row>
    <row r="410" spans="1:11" x14ac:dyDescent="0.25">
      <c r="A410" t="s">
        <v>8</v>
      </c>
      <c r="B410" t="s">
        <v>9</v>
      </c>
      <c r="C410" t="s">
        <v>10</v>
      </c>
      <c r="D410" t="s">
        <v>11</v>
      </c>
      <c r="E410" t="s">
        <v>17</v>
      </c>
      <c r="F410" s="1">
        <v>52</v>
      </c>
      <c r="G410" s="1">
        <v>49</v>
      </c>
      <c r="H410" s="1">
        <v>43</v>
      </c>
      <c r="I410" s="1">
        <f t="shared" si="18"/>
        <v>48</v>
      </c>
      <c r="J410" t="str">
        <f t="shared" si="19"/>
        <v>Average</v>
      </c>
      <c r="K410" t="str">
        <f t="shared" si="20"/>
        <v>Pass</v>
      </c>
    </row>
    <row r="411" spans="1:11" x14ac:dyDescent="0.25">
      <c r="A411" t="s">
        <v>8</v>
      </c>
      <c r="B411" t="s">
        <v>14</v>
      </c>
      <c r="C411" t="s">
        <v>19</v>
      </c>
      <c r="D411" t="s">
        <v>11</v>
      </c>
      <c r="E411" t="s">
        <v>17</v>
      </c>
      <c r="F411" s="1">
        <v>73</v>
      </c>
      <c r="G411" s="1">
        <v>75</v>
      </c>
      <c r="H411" s="1">
        <v>71</v>
      </c>
      <c r="I411" s="1">
        <f t="shared" si="18"/>
        <v>73</v>
      </c>
      <c r="J411" t="str">
        <f t="shared" si="19"/>
        <v>Good</v>
      </c>
      <c r="K411" t="str">
        <f t="shared" si="20"/>
        <v>Pass</v>
      </c>
    </row>
    <row r="412" spans="1:11" x14ac:dyDescent="0.25">
      <c r="A412" t="s">
        <v>8</v>
      </c>
      <c r="B412" t="s">
        <v>23</v>
      </c>
      <c r="C412" t="s">
        <v>10</v>
      </c>
      <c r="D412" t="s">
        <v>11</v>
      </c>
      <c r="E412" t="s">
        <v>17</v>
      </c>
      <c r="F412" s="1">
        <v>81</v>
      </c>
      <c r="G412" s="1">
        <v>72</v>
      </c>
      <c r="H412" s="1">
        <v>58</v>
      </c>
      <c r="I412" s="1">
        <f t="shared" si="18"/>
        <v>70.333333333333329</v>
      </c>
      <c r="J412" t="str">
        <f t="shared" si="19"/>
        <v>Good</v>
      </c>
      <c r="K412" t="str">
        <f t="shared" si="20"/>
        <v>Pass</v>
      </c>
    </row>
    <row r="413" spans="1:11" x14ac:dyDescent="0.25">
      <c r="A413" t="s">
        <v>13</v>
      </c>
      <c r="B413" t="s">
        <v>20</v>
      </c>
      <c r="C413" t="s">
        <v>22</v>
      </c>
      <c r="D413" t="s">
        <v>16</v>
      </c>
      <c r="E413" t="s">
        <v>17</v>
      </c>
      <c r="F413" s="1">
        <v>62</v>
      </c>
      <c r="G413" s="1">
        <v>75</v>
      </c>
      <c r="H413" s="1">
        <v>72</v>
      </c>
      <c r="I413" s="1">
        <f t="shared" si="18"/>
        <v>69.666666666666671</v>
      </c>
      <c r="J413" t="str">
        <f t="shared" si="19"/>
        <v>Good</v>
      </c>
      <c r="K413" t="str">
        <f t="shared" si="20"/>
        <v>Pass</v>
      </c>
    </row>
    <row r="414" spans="1:11" x14ac:dyDescent="0.25">
      <c r="A414" t="s">
        <v>13</v>
      </c>
      <c r="B414" t="s">
        <v>23</v>
      </c>
      <c r="C414" t="s">
        <v>24</v>
      </c>
      <c r="D414" t="s">
        <v>16</v>
      </c>
      <c r="E414" t="s">
        <v>17</v>
      </c>
      <c r="F414" s="1">
        <v>55</v>
      </c>
      <c r="G414" s="1">
        <v>60</v>
      </c>
      <c r="H414" s="1">
        <v>61</v>
      </c>
      <c r="I414" s="1">
        <f t="shared" si="18"/>
        <v>58.666666666666664</v>
      </c>
      <c r="J414" t="str">
        <f t="shared" si="19"/>
        <v>Average</v>
      </c>
      <c r="K414" t="str">
        <f t="shared" si="20"/>
        <v>Pass</v>
      </c>
    </row>
    <row r="415" spans="1:11" x14ac:dyDescent="0.25">
      <c r="A415" t="s">
        <v>8</v>
      </c>
      <c r="B415" t="s">
        <v>23</v>
      </c>
      <c r="C415" t="s">
        <v>15</v>
      </c>
      <c r="D415" t="s">
        <v>16</v>
      </c>
      <c r="E415" t="s">
        <v>12</v>
      </c>
      <c r="F415" s="1">
        <v>55</v>
      </c>
      <c r="G415" s="1">
        <v>61</v>
      </c>
      <c r="H415" s="1">
        <v>61</v>
      </c>
      <c r="I415" s="1">
        <f t="shared" si="18"/>
        <v>59</v>
      </c>
      <c r="J415" t="str">
        <f t="shared" si="19"/>
        <v>Average</v>
      </c>
      <c r="K415" t="str">
        <f t="shared" si="20"/>
        <v>Pass</v>
      </c>
    </row>
    <row r="416" spans="1:11" x14ac:dyDescent="0.25">
      <c r="A416" t="s">
        <v>13</v>
      </c>
      <c r="B416" t="s">
        <v>14</v>
      </c>
      <c r="C416" t="s">
        <v>15</v>
      </c>
      <c r="D416" t="s">
        <v>11</v>
      </c>
      <c r="E416" t="s">
        <v>17</v>
      </c>
      <c r="F416" s="1">
        <v>61</v>
      </c>
      <c r="G416" s="1">
        <v>62</v>
      </c>
      <c r="H416" s="1">
        <v>61</v>
      </c>
      <c r="I416" s="1">
        <f t="shared" si="18"/>
        <v>61.333333333333336</v>
      </c>
      <c r="J416" t="str">
        <f t="shared" si="19"/>
        <v>Good</v>
      </c>
      <c r="K416" t="str">
        <f t="shared" si="20"/>
        <v>Pass</v>
      </c>
    </row>
    <row r="417" spans="1:11" x14ac:dyDescent="0.25">
      <c r="A417" t="s">
        <v>8</v>
      </c>
      <c r="B417" t="s">
        <v>18</v>
      </c>
      <c r="C417" t="s">
        <v>10</v>
      </c>
      <c r="D417" t="s">
        <v>11</v>
      </c>
      <c r="E417" t="s">
        <v>17</v>
      </c>
      <c r="F417" s="1">
        <v>75</v>
      </c>
      <c r="G417" s="1">
        <v>70</v>
      </c>
      <c r="H417" s="1">
        <v>64</v>
      </c>
      <c r="I417" s="1">
        <f t="shared" si="18"/>
        <v>69.666666666666671</v>
      </c>
      <c r="J417" t="str">
        <f t="shared" si="19"/>
        <v>Good</v>
      </c>
      <c r="K417" t="str">
        <f t="shared" si="20"/>
        <v>Pass</v>
      </c>
    </row>
    <row r="418" spans="1:11" x14ac:dyDescent="0.25">
      <c r="A418" t="s">
        <v>8</v>
      </c>
      <c r="B418" t="s">
        <v>18</v>
      </c>
      <c r="C418" t="s">
        <v>19</v>
      </c>
      <c r="D418" t="s">
        <v>16</v>
      </c>
      <c r="E418" t="s">
        <v>17</v>
      </c>
      <c r="F418" s="1">
        <v>79</v>
      </c>
      <c r="G418" s="1">
        <v>65</v>
      </c>
      <c r="H418" s="1">
        <v>59</v>
      </c>
      <c r="I418" s="1">
        <f t="shared" si="18"/>
        <v>67.666666666666671</v>
      </c>
      <c r="J418" t="str">
        <f t="shared" si="19"/>
        <v>Good</v>
      </c>
      <c r="K418" t="str">
        <f t="shared" si="20"/>
        <v>Pass</v>
      </c>
    </row>
    <row r="419" spans="1:11" x14ac:dyDescent="0.25">
      <c r="A419" t="s">
        <v>13</v>
      </c>
      <c r="B419" t="s">
        <v>23</v>
      </c>
      <c r="C419" t="s">
        <v>15</v>
      </c>
      <c r="D419" t="s">
        <v>11</v>
      </c>
      <c r="E419" t="s">
        <v>17</v>
      </c>
      <c r="F419" s="1">
        <v>70</v>
      </c>
      <c r="G419" s="1">
        <v>70</v>
      </c>
      <c r="H419" s="1">
        <v>68</v>
      </c>
      <c r="I419" s="1">
        <f t="shared" si="18"/>
        <v>69.333333333333329</v>
      </c>
      <c r="J419" t="str">
        <f t="shared" si="19"/>
        <v>Good</v>
      </c>
      <c r="K419" t="str">
        <f t="shared" si="20"/>
        <v>Pass</v>
      </c>
    </row>
    <row r="420" spans="1:11" x14ac:dyDescent="0.25">
      <c r="A420" t="s">
        <v>8</v>
      </c>
      <c r="B420" t="s">
        <v>9</v>
      </c>
      <c r="C420" t="s">
        <v>19</v>
      </c>
      <c r="D420" t="s">
        <v>11</v>
      </c>
      <c r="E420" t="s">
        <v>17</v>
      </c>
      <c r="F420" s="1">
        <v>72</v>
      </c>
      <c r="G420" s="1">
        <v>65</v>
      </c>
      <c r="H420" s="1">
        <v>59</v>
      </c>
      <c r="I420" s="1">
        <f t="shared" si="18"/>
        <v>65.333333333333329</v>
      </c>
      <c r="J420" t="str">
        <f t="shared" si="19"/>
        <v>Good</v>
      </c>
      <c r="K420" t="str">
        <f t="shared" si="20"/>
        <v>Pass</v>
      </c>
    </row>
    <row r="421" spans="1:11" x14ac:dyDescent="0.25">
      <c r="A421" t="s">
        <v>13</v>
      </c>
      <c r="B421" t="s">
        <v>23</v>
      </c>
      <c r="C421" t="s">
        <v>15</v>
      </c>
      <c r="D421" t="s">
        <v>16</v>
      </c>
      <c r="E421" t="s">
        <v>17</v>
      </c>
      <c r="F421" s="1">
        <v>38</v>
      </c>
      <c r="G421" s="1">
        <v>46</v>
      </c>
      <c r="H421" s="1">
        <v>33</v>
      </c>
      <c r="I421" s="1">
        <f t="shared" si="18"/>
        <v>39</v>
      </c>
      <c r="J421" t="str">
        <f t="shared" si="19"/>
        <v>Poor</v>
      </c>
      <c r="K421" t="str">
        <f t="shared" si="20"/>
        <v>Fail</v>
      </c>
    </row>
    <row r="422" spans="1:11" x14ac:dyDescent="0.25">
      <c r="A422" t="s">
        <v>13</v>
      </c>
      <c r="B422" t="s">
        <v>9</v>
      </c>
      <c r="C422" t="s">
        <v>22</v>
      </c>
      <c r="D422" t="s">
        <v>11</v>
      </c>
      <c r="E422" t="s">
        <v>17</v>
      </c>
      <c r="F422" s="1">
        <v>57</v>
      </c>
      <c r="G422" s="1">
        <v>71</v>
      </c>
      <c r="H422" s="1">
        <v>63</v>
      </c>
      <c r="I422" s="1">
        <f t="shared" si="18"/>
        <v>63.666666666666664</v>
      </c>
      <c r="J422" t="str">
        <f t="shared" si="19"/>
        <v>Good</v>
      </c>
      <c r="K422" t="str">
        <f t="shared" si="20"/>
        <v>Pass</v>
      </c>
    </row>
    <row r="423" spans="1:11" x14ac:dyDescent="0.25">
      <c r="A423" t="s">
        <v>8</v>
      </c>
      <c r="B423" t="s">
        <v>14</v>
      </c>
      <c r="C423" t="s">
        <v>15</v>
      </c>
      <c r="D423" t="s">
        <v>11</v>
      </c>
      <c r="E423" t="s">
        <v>17</v>
      </c>
      <c r="F423" s="1">
        <v>76</v>
      </c>
      <c r="G423" s="1">
        <v>71</v>
      </c>
      <c r="H423" s="1">
        <v>70</v>
      </c>
      <c r="I423" s="1">
        <f t="shared" si="18"/>
        <v>72.333333333333329</v>
      </c>
      <c r="J423" t="str">
        <f t="shared" si="19"/>
        <v>Good</v>
      </c>
      <c r="K423" t="str">
        <f t="shared" si="20"/>
        <v>Pass</v>
      </c>
    </row>
    <row r="424" spans="1:11" x14ac:dyDescent="0.25">
      <c r="A424" t="s">
        <v>8</v>
      </c>
      <c r="B424" t="s">
        <v>23</v>
      </c>
      <c r="C424" t="s">
        <v>19</v>
      </c>
      <c r="D424" t="s">
        <v>16</v>
      </c>
      <c r="E424" t="s">
        <v>17</v>
      </c>
      <c r="F424" s="1">
        <v>45</v>
      </c>
      <c r="G424" s="1">
        <v>45</v>
      </c>
      <c r="H424" s="1">
        <v>38</v>
      </c>
      <c r="I424" s="1">
        <f t="shared" si="18"/>
        <v>42.666666666666664</v>
      </c>
      <c r="J424" t="str">
        <f t="shared" si="19"/>
        <v>Average</v>
      </c>
      <c r="K424" t="str">
        <f t="shared" si="20"/>
        <v>Pass</v>
      </c>
    </row>
    <row r="425" spans="1:11" x14ac:dyDescent="0.25">
      <c r="A425" t="s">
        <v>8</v>
      </c>
      <c r="B425" t="s">
        <v>14</v>
      </c>
      <c r="C425" t="s">
        <v>21</v>
      </c>
      <c r="D425" t="s">
        <v>11</v>
      </c>
      <c r="E425" t="s">
        <v>17</v>
      </c>
      <c r="F425" s="1">
        <v>77</v>
      </c>
      <c r="G425" s="1">
        <v>73</v>
      </c>
      <c r="H425" s="1">
        <v>74</v>
      </c>
      <c r="I425" s="1">
        <f t="shared" si="18"/>
        <v>74.666666666666671</v>
      </c>
      <c r="J425" t="str">
        <f t="shared" si="19"/>
        <v>Good</v>
      </c>
      <c r="K425" t="str">
        <f t="shared" si="20"/>
        <v>Pass</v>
      </c>
    </row>
    <row r="426" spans="1:11" x14ac:dyDescent="0.25">
      <c r="A426" t="s">
        <v>8</v>
      </c>
      <c r="B426" t="s">
        <v>23</v>
      </c>
      <c r="C426" t="s">
        <v>10</v>
      </c>
      <c r="D426" t="s">
        <v>11</v>
      </c>
      <c r="E426" t="s">
        <v>17</v>
      </c>
      <c r="F426" s="1">
        <v>40</v>
      </c>
      <c r="G426" s="1">
        <v>39</v>
      </c>
      <c r="H426" s="1">
        <v>30</v>
      </c>
      <c r="I426" s="1">
        <f t="shared" si="18"/>
        <v>36.333333333333336</v>
      </c>
      <c r="J426" t="str">
        <f t="shared" si="19"/>
        <v>Poor</v>
      </c>
      <c r="K426" t="str">
        <f t="shared" si="20"/>
        <v>Fail</v>
      </c>
    </row>
    <row r="427" spans="1:11" x14ac:dyDescent="0.25">
      <c r="A427" t="s">
        <v>13</v>
      </c>
      <c r="B427" t="s">
        <v>18</v>
      </c>
      <c r="C427" t="s">
        <v>19</v>
      </c>
      <c r="D427" t="s">
        <v>11</v>
      </c>
      <c r="E427" t="s">
        <v>17</v>
      </c>
      <c r="F427" s="1">
        <v>78</v>
      </c>
      <c r="G427" s="1">
        <v>83</v>
      </c>
      <c r="H427" s="1">
        <v>78</v>
      </c>
      <c r="I427" s="1">
        <f t="shared" si="18"/>
        <v>79.666666666666671</v>
      </c>
      <c r="J427" t="str">
        <f t="shared" si="19"/>
        <v>Good</v>
      </c>
      <c r="K427" t="str">
        <f t="shared" si="20"/>
        <v>Pass</v>
      </c>
    </row>
    <row r="428" spans="1:11" x14ac:dyDescent="0.25">
      <c r="A428" t="s">
        <v>13</v>
      </c>
      <c r="B428" t="s">
        <v>9</v>
      </c>
      <c r="C428" t="s">
        <v>24</v>
      </c>
      <c r="D428" t="s">
        <v>16</v>
      </c>
      <c r="E428" t="s">
        <v>17</v>
      </c>
      <c r="F428" s="1">
        <v>63</v>
      </c>
      <c r="G428" s="1">
        <v>65</v>
      </c>
      <c r="H428" s="1">
        <v>66</v>
      </c>
      <c r="I428" s="1">
        <f t="shared" si="18"/>
        <v>64.666666666666671</v>
      </c>
      <c r="J428" t="str">
        <f t="shared" si="19"/>
        <v>Good</v>
      </c>
      <c r="K428" t="str">
        <f t="shared" si="20"/>
        <v>Pass</v>
      </c>
    </row>
    <row r="429" spans="1:11" x14ac:dyDescent="0.25">
      <c r="A429" t="s">
        <v>8</v>
      </c>
      <c r="B429" t="s">
        <v>23</v>
      </c>
      <c r="C429" t="s">
        <v>21</v>
      </c>
      <c r="D429" t="s">
        <v>11</v>
      </c>
      <c r="E429" t="s">
        <v>17</v>
      </c>
      <c r="F429" s="1">
        <v>83</v>
      </c>
      <c r="G429" s="1">
        <v>70</v>
      </c>
      <c r="H429" s="1">
        <v>73</v>
      </c>
      <c r="I429" s="1">
        <f t="shared" si="18"/>
        <v>75.333333333333329</v>
      </c>
      <c r="J429" t="str">
        <f t="shared" si="19"/>
        <v>Good</v>
      </c>
      <c r="K429" t="str">
        <f t="shared" si="20"/>
        <v>Pass</v>
      </c>
    </row>
    <row r="430" spans="1:11" x14ac:dyDescent="0.25">
      <c r="A430" t="s">
        <v>8</v>
      </c>
      <c r="B430" t="s">
        <v>23</v>
      </c>
      <c r="C430" t="s">
        <v>21</v>
      </c>
      <c r="D430" t="s">
        <v>16</v>
      </c>
      <c r="E430" t="s">
        <v>17</v>
      </c>
      <c r="F430" s="1">
        <v>55</v>
      </c>
      <c r="G430" s="1">
        <v>52</v>
      </c>
      <c r="H430" s="1">
        <v>47</v>
      </c>
      <c r="I430" s="1">
        <f t="shared" si="18"/>
        <v>51.333333333333336</v>
      </c>
      <c r="J430" t="str">
        <f t="shared" si="19"/>
        <v>Average</v>
      </c>
      <c r="K430" t="str">
        <f t="shared" si="20"/>
        <v>Pass</v>
      </c>
    </row>
    <row r="431" spans="1:11" x14ac:dyDescent="0.25">
      <c r="A431" t="s">
        <v>8</v>
      </c>
      <c r="B431" t="s">
        <v>20</v>
      </c>
      <c r="C431" t="s">
        <v>19</v>
      </c>
      <c r="D431" t="s">
        <v>11</v>
      </c>
      <c r="E431" t="s">
        <v>12</v>
      </c>
      <c r="F431" s="1">
        <v>88</v>
      </c>
      <c r="G431" s="1">
        <v>78</v>
      </c>
      <c r="H431" s="1">
        <v>76</v>
      </c>
      <c r="I431" s="1">
        <f t="shared" si="18"/>
        <v>80.666666666666671</v>
      </c>
      <c r="J431" t="str">
        <f t="shared" si="19"/>
        <v>Excellent</v>
      </c>
      <c r="K431" t="str">
        <f t="shared" si="20"/>
        <v>Pass</v>
      </c>
    </row>
    <row r="432" spans="1:11" x14ac:dyDescent="0.25">
      <c r="A432" t="s">
        <v>8</v>
      </c>
      <c r="B432" t="s">
        <v>23</v>
      </c>
      <c r="C432" t="s">
        <v>22</v>
      </c>
      <c r="D432" t="s">
        <v>11</v>
      </c>
      <c r="E432" t="s">
        <v>17</v>
      </c>
      <c r="F432" s="1">
        <v>82</v>
      </c>
      <c r="G432" s="1">
        <v>83</v>
      </c>
      <c r="H432" s="1">
        <v>85</v>
      </c>
      <c r="I432" s="1">
        <f t="shared" si="18"/>
        <v>83.333333333333329</v>
      </c>
      <c r="J432" t="str">
        <f t="shared" si="19"/>
        <v>Excellent</v>
      </c>
      <c r="K432" t="str">
        <f t="shared" si="20"/>
        <v>Pass</v>
      </c>
    </row>
    <row r="433" spans="1:11" x14ac:dyDescent="0.25">
      <c r="A433" t="s">
        <v>8</v>
      </c>
      <c r="B433" t="s">
        <v>18</v>
      </c>
      <c r="C433" t="s">
        <v>22</v>
      </c>
      <c r="D433" t="s">
        <v>11</v>
      </c>
      <c r="E433" t="s">
        <v>17</v>
      </c>
      <c r="F433" s="1">
        <v>86</v>
      </c>
      <c r="G433" s="1">
        <v>71</v>
      </c>
      <c r="H433" s="1">
        <v>71</v>
      </c>
      <c r="I433" s="1">
        <f t="shared" si="18"/>
        <v>76</v>
      </c>
      <c r="J433" t="str">
        <f t="shared" si="19"/>
        <v>Good</v>
      </c>
      <c r="K433" t="str">
        <f t="shared" si="20"/>
        <v>Pass</v>
      </c>
    </row>
    <row r="434" spans="1:11" x14ac:dyDescent="0.25">
      <c r="A434" t="s">
        <v>13</v>
      </c>
      <c r="B434" t="s">
        <v>23</v>
      </c>
      <c r="C434" t="s">
        <v>21</v>
      </c>
      <c r="D434" t="s">
        <v>16</v>
      </c>
      <c r="E434" t="s">
        <v>17</v>
      </c>
      <c r="F434" s="1">
        <v>61</v>
      </c>
      <c r="G434" s="1">
        <v>74</v>
      </c>
      <c r="H434" s="1">
        <v>72</v>
      </c>
      <c r="I434" s="1">
        <f t="shared" si="18"/>
        <v>69</v>
      </c>
      <c r="J434" t="str">
        <f t="shared" si="19"/>
        <v>Good</v>
      </c>
      <c r="K434" t="str">
        <f t="shared" si="20"/>
        <v>Pass</v>
      </c>
    </row>
    <row r="435" spans="1:11" x14ac:dyDescent="0.25">
      <c r="A435" t="s">
        <v>13</v>
      </c>
      <c r="B435" t="s">
        <v>14</v>
      </c>
      <c r="C435" t="s">
        <v>19</v>
      </c>
      <c r="D435" t="s">
        <v>11</v>
      </c>
      <c r="E435" t="s">
        <v>12</v>
      </c>
      <c r="F435" s="1">
        <v>78</v>
      </c>
      <c r="G435" s="1">
        <v>85</v>
      </c>
      <c r="H435" s="1">
        <v>93</v>
      </c>
      <c r="I435" s="1">
        <f t="shared" si="18"/>
        <v>85.333333333333329</v>
      </c>
      <c r="J435" t="str">
        <f t="shared" si="19"/>
        <v>Excellent</v>
      </c>
      <c r="K435" t="str">
        <f t="shared" si="20"/>
        <v>Pass</v>
      </c>
    </row>
    <row r="436" spans="1:11" x14ac:dyDescent="0.25">
      <c r="A436" t="s">
        <v>8</v>
      </c>
      <c r="B436" t="s">
        <v>23</v>
      </c>
      <c r="C436" t="s">
        <v>21</v>
      </c>
      <c r="D436" t="s">
        <v>11</v>
      </c>
      <c r="E436" t="s">
        <v>17</v>
      </c>
      <c r="F436" s="1">
        <v>67</v>
      </c>
      <c r="G436" s="1">
        <v>63</v>
      </c>
      <c r="H436" s="1">
        <v>66</v>
      </c>
      <c r="I436" s="1">
        <f t="shared" si="18"/>
        <v>65.333333333333329</v>
      </c>
      <c r="J436" t="str">
        <f t="shared" si="19"/>
        <v>Good</v>
      </c>
      <c r="K436" t="str">
        <f t="shared" si="20"/>
        <v>Pass</v>
      </c>
    </row>
    <row r="437" spans="1:11" x14ac:dyDescent="0.25">
      <c r="A437" t="s">
        <v>13</v>
      </c>
      <c r="B437" t="s">
        <v>18</v>
      </c>
      <c r="C437" t="s">
        <v>15</v>
      </c>
      <c r="D437" t="s">
        <v>11</v>
      </c>
      <c r="E437" t="s">
        <v>17</v>
      </c>
      <c r="F437" s="1">
        <v>83</v>
      </c>
      <c r="G437" s="1">
        <v>87</v>
      </c>
      <c r="H437" s="1">
        <v>83</v>
      </c>
      <c r="I437" s="1">
        <f t="shared" si="18"/>
        <v>84.333333333333329</v>
      </c>
      <c r="J437" t="str">
        <f t="shared" si="19"/>
        <v>Excellent</v>
      </c>
      <c r="K437" t="str">
        <f t="shared" si="20"/>
        <v>Pass</v>
      </c>
    </row>
    <row r="438" spans="1:11" x14ac:dyDescent="0.25">
      <c r="A438" t="s">
        <v>8</v>
      </c>
      <c r="B438" t="s">
        <v>23</v>
      </c>
      <c r="C438" t="s">
        <v>15</v>
      </c>
      <c r="D438" t="s">
        <v>11</v>
      </c>
      <c r="E438" t="s">
        <v>17</v>
      </c>
      <c r="F438" s="1">
        <v>68</v>
      </c>
      <c r="G438" s="1">
        <v>74</v>
      </c>
      <c r="H438" s="1">
        <v>69</v>
      </c>
      <c r="I438" s="1">
        <f t="shared" si="18"/>
        <v>70.333333333333329</v>
      </c>
      <c r="J438" t="str">
        <f t="shared" si="19"/>
        <v>Good</v>
      </c>
      <c r="K438" t="str">
        <f t="shared" si="20"/>
        <v>Pass</v>
      </c>
    </row>
    <row r="439" spans="1:11" x14ac:dyDescent="0.25">
      <c r="A439" t="s">
        <v>8</v>
      </c>
      <c r="B439" t="s">
        <v>23</v>
      </c>
      <c r="C439" t="s">
        <v>19</v>
      </c>
      <c r="D439" t="s">
        <v>11</v>
      </c>
      <c r="E439" t="s">
        <v>17</v>
      </c>
      <c r="F439" s="1">
        <v>53</v>
      </c>
      <c r="G439" s="1">
        <v>52</v>
      </c>
      <c r="H439" s="1">
        <v>44</v>
      </c>
      <c r="I439" s="1">
        <f t="shared" si="18"/>
        <v>49.666666666666664</v>
      </c>
      <c r="J439" t="str">
        <f t="shared" si="19"/>
        <v>Average</v>
      </c>
      <c r="K439" t="str">
        <f t="shared" si="20"/>
        <v>Pass</v>
      </c>
    </row>
    <row r="440" spans="1:11" x14ac:dyDescent="0.25">
      <c r="A440" t="s">
        <v>8</v>
      </c>
      <c r="B440" t="s">
        <v>14</v>
      </c>
      <c r="C440" t="s">
        <v>21</v>
      </c>
      <c r="D440" t="s">
        <v>11</v>
      </c>
      <c r="E440" t="s">
        <v>17</v>
      </c>
      <c r="F440" s="1">
        <v>91</v>
      </c>
      <c r="G440" s="1">
        <v>88</v>
      </c>
      <c r="H440" s="1">
        <v>90</v>
      </c>
      <c r="I440" s="1">
        <f t="shared" si="18"/>
        <v>89.666666666666671</v>
      </c>
      <c r="J440" t="str">
        <f t="shared" si="19"/>
        <v>Excellent</v>
      </c>
      <c r="K440" t="str">
        <f t="shared" si="20"/>
        <v>Pass</v>
      </c>
    </row>
    <row r="441" spans="1:11" x14ac:dyDescent="0.25">
      <c r="A441" t="s">
        <v>8</v>
      </c>
      <c r="B441" t="s">
        <v>20</v>
      </c>
      <c r="C441" t="s">
        <v>21</v>
      </c>
      <c r="D441" t="s">
        <v>16</v>
      </c>
      <c r="E441" t="s">
        <v>17</v>
      </c>
      <c r="F441" s="1">
        <v>67</v>
      </c>
      <c r="G441" s="1">
        <v>66</v>
      </c>
      <c r="H441" s="1">
        <v>66</v>
      </c>
      <c r="I441" s="1">
        <f t="shared" si="18"/>
        <v>66.333333333333329</v>
      </c>
      <c r="J441" t="str">
        <f t="shared" si="19"/>
        <v>Good</v>
      </c>
      <c r="K441" t="str">
        <f t="shared" si="20"/>
        <v>Pass</v>
      </c>
    </row>
    <row r="442" spans="1:11" x14ac:dyDescent="0.25">
      <c r="A442" t="s">
        <v>13</v>
      </c>
      <c r="B442" t="s">
        <v>23</v>
      </c>
      <c r="C442" t="s">
        <v>10</v>
      </c>
      <c r="D442" t="s">
        <v>11</v>
      </c>
      <c r="E442" t="s">
        <v>12</v>
      </c>
      <c r="F442" s="1">
        <v>53</v>
      </c>
      <c r="G442" s="1">
        <v>64</v>
      </c>
      <c r="H442" s="1">
        <v>62</v>
      </c>
      <c r="I442" s="1">
        <f t="shared" si="18"/>
        <v>59.666666666666664</v>
      </c>
      <c r="J442" t="str">
        <f t="shared" si="19"/>
        <v>Average</v>
      </c>
      <c r="K442" t="str">
        <f t="shared" si="20"/>
        <v>Pass</v>
      </c>
    </row>
    <row r="443" spans="1:11" x14ac:dyDescent="0.25">
      <c r="A443" t="s">
        <v>13</v>
      </c>
      <c r="B443" t="s">
        <v>23</v>
      </c>
      <c r="C443" t="s">
        <v>24</v>
      </c>
      <c r="D443" t="s">
        <v>11</v>
      </c>
      <c r="E443" t="s">
        <v>12</v>
      </c>
      <c r="F443" s="1">
        <v>86</v>
      </c>
      <c r="G443" s="1">
        <v>100</v>
      </c>
      <c r="H443" s="1">
        <v>100</v>
      </c>
      <c r="I443" s="1">
        <f t="shared" si="18"/>
        <v>95.333333333333329</v>
      </c>
      <c r="J443" t="str">
        <f t="shared" si="19"/>
        <v>Excellent</v>
      </c>
      <c r="K443" t="str">
        <f t="shared" si="20"/>
        <v>Pass</v>
      </c>
    </row>
    <row r="444" spans="1:11" x14ac:dyDescent="0.25">
      <c r="A444" t="s">
        <v>8</v>
      </c>
      <c r="B444" t="s">
        <v>18</v>
      </c>
      <c r="C444" t="s">
        <v>15</v>
      </c>
      <c r="D444" t="s">
        <v>16</v>
      </c>
      <c r="E444" t="s">
        <v>12</v>
      </c>
      <c r="F444" s="1">
        <v>75</v>
      </c>
      <c r="G444" s="1">
        <v>70</v>
      </c>
      <c r="H444" s="1">
        <v>61</v>
      </c>
      <c r="I444" s="1">
        <f t="shared" si="18"/>
        <v>68.666666666666671</v>
      </c>
      <c r="J444" t="str">
        <f t="shared" si="19"/>
        <v>Good</v>
      </c>
      <c r="K444" t="str">
        <f t="shared" si="20"/>
        <v>Pass</v>
      </c>
    </row>
    <row r="445" spans="1:11" x14ac:dyDescent="0.25">
      <c r="A445" t="s">
        <v>8</v>
      </c>
      <c r="B445" t="s">
        <v>23</v>
      </c>
      <c r="C445" t="s">
        <v>19</v>
      </c>
      <c r="D445" t="s">
        <v>11</v>
      </c>
      <c r="E445" t="s">
        <v>17</v>
      </c>
      <c r="F445" s="1">
        <v>55</v>
      </c>
      <c r="G445" s="1">
        <v>38</v>
      </c>
      <c r="H445" s="1">
        <v>35</v>
      </c>
      <c r="I445" s="1">
        <f t="shared" si="18"/>
        <v>42.666666666666664</v>
      </c>
      <c r="J445" t="str">
        <f t="shared" si="19"/>
        <v>Average</v>
      </c>
      <c r="K445" t="str">
        <f t="shared" si="20"/>
        <v>Pass</v>
      </c>
    </row>
    <row r="446" spans="1:11" x14ac:dyDescent="0.25">
      <c r="A446" t="s">
        <v>8</v>
      </c>
      <c r="B446" t="s">
        <v>14</v>
      </c>
      <c r="C446" t="s">
        <v>22</v>
      </c>
      <c r="D446" t="s">
        <v>11</v>
      </c>
      <c r="E446" t="s">
        <v>12</v>
      </c>
      <c r="F446" s="1">
        <v>93</v>
      </c>
      <c r="G446" s="1">
        <v>86</v>
      </c>
      <c r="H446" s="1">
        <v>95</v>
      </c>
      <c r="I446" s="1">
        <f t="shared" si="18"/>
        <v>91.333333333333329</v>
      </c>
      <c r="J446" t="str">
        <f t="shared" si="19"/>
        <v>Excellent</v>
      </c>
      <c r="K446" t="str">
        <f t="shared" si="20"/>
        <v>Pass</v>
      </c>
    </row>
    <row r="447" spans="1:11" x14ac:dyDescent="0.25">
      <c r="A447" t="s">
        <v>13</v>
      </c>
      <c r="B447" t="s">
        <v>18</v>
      </c>
      <c r="C447" t="s">
        <v>10</v>
      </c>
      <c r="D447" t="s">
        <v>11</v>
      </c>
      <c r="E447" t="s">
        <v>17</v>
      </c>
      <c r="F447" s="1">
        <v>62</v>
      </c>
      <c r="G447" s="1">
        <v>71</v>
      </c>
      <c r="H447" s="1">
        <v>66</v>
      </c>
      <c r="I447" s="1">
        <f t="shared" si="18"/>
        <v>66.333333333333329</v>
      </c>
      <c r="J447" t="str">
        <f t="shared" si="19"/>
        <v>Good</v>
      </c>
      <c r="K447" t="str">
        <f t="shared" si="20"/>
        <v>Pass</v>
      </c>
    </row>
    <row r="448" spans="1:11" x14ac:dyDescent="0.25">
      <c r="A448" t="s">
        <v>8</v>
      </c>
      <c r="B448" t="s">
        <v>23</v>
      </c>
      <c r="C448" t="s">
        <v>19</v>
      </c>
      <c r="D448" t="s">
        <v>16</v>
      </c>
      <c r="E448" t="s">
        <v>17</v>
      </c>
      <c r="F448" s="1">
        <v>83</v>
      </c>
      <c r="G448" s="1">
        <v>76</v>
      </c>
      <c r="H448" s="1">
        <v>71</v>
      </c>
      <c r="I448" s="1">
        <f t="shared" si="18"/>
        <v>76.666666666666671</v>
      </c>
      <c r="J448" t="str">
        <f t="shared" si="19"/>
        <v>Good</v>
      </c>
      <c r="K448" t="str">
        <f t="shared" si="20"/>
        <v>Pass</v>
      </c>
    </row>
    <row r="449" spans="1:11" x14ac:dyDescent="0.25">
      <c r="A449" t="s">
        <v>8</v>
      </c>
      <c r="B449" t="s">
        <v>14</v>
      </c>
      <c r="C449" t="s">
        <v>15</v>
      </c>
      <c r="D449" t="s">
        <v>11</v>
      </c>
      <c r="E449" t="s">
        <v>17</v>
      </c>
      <c r="F449" s="1">
        <v>73</v>
      </c>
      <c r="G449" s="1">
        <v>72</v>
      </c>
      <c r="H449" s="1">
        <v>64</v>
      </c>
      <c r="I449" s="1">
        <f t="shared" si="18"/>
        <v>69.666666666666671</v>
      </c>
      <c r="J449" t="str">
        <f t="shared" si="19"/>
        <v>Good</v>
      </c>
      <c r="K449" t="str">
        <f t="shared" si="20"/>
        <v>Pass</v>
      </c>
    </row>
    <row r="450" spans="1:11" x14ac:dyDescent="0.25">
      <c r="A450" t="s">
        <v>13</v>
      </c>
      <c r="B450" t="s">
        <v>23</v>
      </c>
      <c r="C450" t="s">
        <v>10</v>
      </c>
      <c r="D450" t="s">
        <v>16</v>
      </c>
      <c r="E450" t="s">
        <v>17</v>
      </c>
      <c r="F450" s="1">
        <v>57</v>
      </c>
      <c r="G450" s="1">
        <v>52</v>
      </c>
      <c r="H450" s="1">
        <v>53</v>
      </c>
      <c r="I450" s="1">
        <f t="shared" ref="I450:I513" si="21">AVERAGE(F450:H450)</f>
        <v>54</v>
      </c>
      <c r="J450" t="str">
        <f t="shared" ref="J450:J513" si="22">IF(I450&gt;=80,"Excellent", IF(I450&gt;=60,"Good", IF(I450&gt;=40,"Average","Poor")))</f>
        <v>Average</v>
      </c>
      <c r="K450" t="str">
        <f t="shared" ref="K450:K513" si="23">IF(I450&gt;=40, "Pass","Fail")</f>
        <v>Pass</v>
      </c>
    </row>
    <row r="451" spans="1:11" x14ac:dyDescent="0.25">
      <c r="A451" t="s">
        <v>13</v>
      </c>
      <c r="B451" t="s">
        <v>23</v>
      </c>
      <c r="C451" t="s">
        <v>19</v>
      </c>
      <c r="D451" t="s">
        <v>11</v>
      </c>
      <c r="E451" t="s">
        <v>17</v>
      </c>
      <c r="F451" s="1">
        <v>70</v>
      </c>
      <c r="G451" s="1">
        <v>75</v>
      </c>
      <c r="H451" s="1">
        <v>75</v>
      </c>
      <c r="I451" s="1">
        <f t="shared" si="21"/>
        <v>73.333333333333329</v>
      </c>
      <c r="J451" t="str">
        <f t="shared" si="22"/>
        <v>Good</v>
      </c>
      <c r="K451" t="str">
        <f t="shared" si="23"/>
        <v>Pass</v>
      </c>
    </row>
    <row r="452" spans="1:11" x14ac:dyDescent="0.25">
      <c r="A452" t="s">
        <v>13</v>
      </c>
      <c r="B452" t="s">
        <v>20</v>
      </c>
      <c r="C452" t="s">
        <v>10</v>
      </c>
      <c r="D452" t="s">
        <v>11</v>
      </c>
      <c r="E452" t="s">
        <v>12</v>
      </c>
      <c r="F452" s="1">
        <v>55</v>
      </c>
      <c r="G452" s="1">
        <v>62</v>
      </c>
      <c r="H452" s="1">
        <v>64</v>
      </c>
      <c r="I452" s="1">
        <f t="shared" si="21"/>
        <v>60.333333333333336</v>
      </c>
      <c r="J452" t="str">
        <f t="shared" si="22"/>
        <v>Good</v>
      </c>
      <c r="K452" t="str">
        <f t="shared" si="23"/>
        <v>Pass</v>
      </c>
    </row>
    <row r="453" spans="1:11" x14ac:dyDescent="0.25">
      <c r="A453" t="s">
        <v>8</v>
      </c>
      <c r="B453" t="s">
        <v>23</v>
      </c>
      <c r="C453" t="s">
        <v>10</v>
      </c>
      <c r="D453" t="s">
        <v>11</v>
      </c>
      <c r="E453" t="s">
        <v>17</v>
      </c>
      <c r="F453" s="1">
        <v>65</v>
      </c>
      <c r="G453" s="1">
        <v>56</v>
      </c>
      <c r="H453" s="1">
        <v>51</v>
      </c>
      <c r="I453" s="1">
        <f t="shared" si="21"/>
        <v>57.333333333333336</v>
      </c>
      <c r="J453" t="str">
        <f t="shared" si="22"/>
        <v>Average</v>
      </c>
      <c r="K453" t="str">
        <f t="shared" si="23"/>
        <v>Pass</v>
      </c>
    </row>
    <row r="454" spans="1:11" x14ac:dyDescent="0.25">
      <c r="A454" t="s">
        <v>13</v>
      </c>
      <c r="B454" t="s">
        <v>23</v>
      </c>
      <c r="C454" t="s">
        <v>15</v>
      </c>
      <c r="D454" t="s">
        <v>11</v>
      </c>
      <c r="E454" t="s">
        <v>12</v>
      </c>
      <c r="F454" s="1">
        <v>76</v>
      </c>
      <c r="G454" s="1">
        <v>85</v>
      </c>
      <c r="H454" s="1">
        <v>88</v>
      </c>
      <c r="I454" s="1">
        <f t="shared" si="21"/>
        <v>83</v>
      </c>
      <c r="J454" t="str">
        <f t="shared" si="22"/>
        <v>Excellent</v>
      </c>
      <c r="K454" t="str">
        <f t="shared" si="23"/>
        <v>Pass</v>
      </c>
    </row>
    <row r="455" spans="1:11" x14ac:dyDescent="0.25">
      <c r="A455" t="s">
        <v>8</v>
      </c>
      <c r="B455" t="s">
        <v>23</v>
      </c>
      <c r="C455" t="s">
        <v>24</v>
      </c>
      <c r="D455" t="s">
        <v>16</v>
      </c>
      <c r="E455" t="s">
        <v>17</v>
      </c>
      <c r="F455" s="1">
        <v>59</v>
      </c>
      <c r="G455" s="1">
        <v>47</v>
      </c>
      <c r="H455" s="1">
        <v>46</v>
      </c>
      <c r="I455" s="1">
        <f t="shared" si="21"/>
        <v>50.666666666666664</v>
      </c>
      <c r="J455" t="str">
        <f t="shared" si="22"/>
        <v>Average</v>
      </c>
      <c r="K455" t="str">
        <f t="shared" si="23"/>
        <v>Pass</v>
      </c>
    </row>
    <row r="456" spans="1:11" x14ac:dyDescent="0.25">
      <c r="A456" t="s">
        <v>8</v>
      </c>
      <c r="B456" t="s">
        <v>23</v>
      </c>
      <c r="C456" t="s">
        <v>21</v>
      </c>
      <c r="D456" t="s">
        <v>11</v>
      </c>
      <c r="E456" t="s">
        <v>12</v>
      </c>
      <c r="F456" s="1">
        <v>74</v>
      </c>
      <c r="G456" s="1">
        <v>73</v>
      </c>
      <c r="H456" s="1">
        <v>77</v>
      </c>
      <c r="I456" s="1">
        <f t="shared" si="21"/>
        <v>74.666666666666671</v>
      </c>
      <c r="J456" t="str">
        <f t="shared" si="22"/>
        <v>Good</v>
      </c>
      <c r="K456" t="str">
        <f t="shared" si="23"/>
        <v>Pass</v>
      </c>
    </row>
    <row r="457" spans="1:11" x14ac:dyDescent="0.25">
      <c r="A457" t="s">
        <v>8</v>
      </c>
      <c r="B457" t="s">
        <v>20</v>
      </c>
      <c r="C457" t="s">
        <v>15</v>
      </c>
      <c r="D457" t="s">
        <v>11</v>
      </c>
      <c r="E457" t="s">
        <v>17</v>
      </c>
      <c r="F457" s="1">
        <v>65</v>
      </c>
      <c r="G457" s="1">
        <v>59</v>
      </c>
      <c r="H457" s="1">
        <v>60</v>
      </c>
      <c r="I457" s="1">
        <f t="shared" si="21"/>
        <v>61.333333333333336</v>
      </c>
      <c r="J457" t="str">
        <f t="shared" si="22"/>
        <v>Good</v>
      </c>
      <c r="K457" t="str">
        <f t="shared" si="23"/>
        <v>Pass</v>
      </c>
    </row>
    <row r="458" spans="1:11" x14ac:dyDescent="0.25">
      <c r="A458" t="s">
        <v>8</v>
      </c>
      <c r="B458" t="s">
        <v>20</v>
      </c>
      <c r="C458" t="s">
        <v>19</v>
      </c>
      <c r="D458" t="s">
        <v>11</v>
      </c>
      <c r="E458" t="s">
        <v>12</v>
      </c>
      <c r="F458" s="1">
        <v>89</v>
      </c>
      <c r="G458" s="1">
        <v>87</v>
      </c>
      <c r="H458" s="1">
        <v>89</v>
      </c>
      <c r="I458" s="1">
        <f t="shared" si="21"/>
        <v>88.333333333333329</v>
      </c>
      <c r="J458" t="str">
        <f t="shared" si="22"/>
        <v>Excellent</v>
      </c>
      <c r="K458" t="str">
        <f t="shared" si="23"/>
        <v>Pass</v>
      </c>
    </row>
    <row r="459" spans="1:11" x14ac:dyDescent="0.25">
      <c r="A459" t="s">
        <v>13</v>
      </c>
      <c r="B459" t="s">
        <v>20</v>
      </c>
      <c r="C459" t="s">
        <v>24</v>
      </c>
      <c r="D459" t="s">
        <v>11</v>
      </c>
      <c r="E459" t="s">
        <v>17</v>
      </c>
      <c r="F459" s="1">
        <v>71</v>
      </c>
      <c r="G459" s="1">
        <v>82</v>
      </c>
      <c r="H459" s="1">
        <v>82</v>
      </c>
      <c r="I459" s="1">
        <f t="shared" si="21"/>
        <v>78.333333333333329</v>
      </c>
      <c r="J459" t="str">
        <f t="shared" si="22"/>
        <v>Good</v>
      </c>
      <c r="K459" t="str">
        <f t="shared" si="23"/>
        <v>Pass</v>
      </c>
    </row>
    <row r="460" spans="1:11" x14ac:dyDescent="0.25">
      <c r="A460" t="s">
        <v>8</v>
      </c>
      <c r="B460" t="s">
        <v>23</v>
      </c>
      <c r="C460" t="s">
        <v>19</v>
      </c>
      <c r="D460" t="s">
        <v>16</v>
      </c>
      <c r="E460" t="s">
        <v>12</v>
      </c>
      <c r="F460" s="1">
        <v>63</v>
      </c>
      <c r="G460" s="1">
        <v>69</v>
      </c>
      <c r="H460" s="1">
        <v>59</v>
      </c>
      <c r="I460" s="1">
        <f t="shared" si="21"/>
        <v>63.666666666666664</v>
      </c>
      <c r="J460" t="str">
        <f t="shared" si="22"/>
        <v>Good</v>
      </c>
      <c r="K460" t="str">
        <f t="shared" si="23"/>
        <v>Pass</v>
      </c>
    </row>
    <row r="461" spans="1:11" x14ac:dyDescent="0.25">
      <c r="A461" t="s">
        <v>8</v>
      </c>
      <c r="B461" t="s">
        <v>23</v>
      </c>
      <c r="C461" t="s">
        <v>15</v>
      </c>
      <c r="D461" t="s">
        <v>11</v>
      </c>
      <c r="E461" t="s">
        <v>12</v>
      </c>
      <c r="F461" s="1">
        <v>57</v>
      </c>
      <c r="G461" s="1">
        <v>55</v>
      </c>
      <c r="H461" s="1">
        <v>60</v>
      </c>
      <c r="I461" s="1">
        <f t="shared" si="21"/>
        <v>57.333333333333336</v>
      </c>
      <c r="J461" t="str">
        <f t="shared" si="22"/>
        <v>Average</v>
      </c>
      <c r="K461" t="str">
        <f t="shared" si="23"/>
        <v>Pass</v>
      </c>
    </row>
    <row r="462" spans="1:11" x14ac:dyDescent="0.25">
      <c r="A462" t="s">
        <v>8</v>
      </c>
      <c r="B462" t="s">
        <v>20</v>
      </c>
      <c r="C462" t="s">
        <v>19</v>
      </c>
      <c r="D462" t="s">
        <v>16</v>
      </c>
      <c r="E462" t="s">
        <v>12</v>
      </c>
      <c r="F462" s="1">
        <v>56</v>
      </c>
      <c r="G462" s="1">
        <v>67</v>
      </c>
      <c r="H462" s="1">
        <v>56</v>
      </c>
      <c r="I462" s="1">
        <f t="shared" si="21"/>
        <v>59.666666666666664</v>
      </c>
      <c r="J462" t="str">
        <f t="shared" si="22"/>
        <v>Average</v>
      </c>
      <c r="K462" t="str">
        <f t="shared" si="23"/>
        <v>Pass</v>
      </c>
    </row>
    <row r="463" spans="1:11" x14ac:dyDescent="0.25">
      <c r="A463" t="s">
        <v>8</v>
      </c>
      <c r="B463" t="s">
        <v>9</v>
      </c>
      <c r="C463" t="s">
        <v>15</v>
      </c>
      <c r="D463" t="s">
        <v>16</v>
      </c>
      <c r="E463" t="s">
        <v>12</v>
      </c>
      <c r="F463" s="1">
        <v>49</v>
      </c>
      <c r="G463" s="1">
        <v>44</v>
      </c>
      <c r="H463" s="1">
        <v>41</v>
      </c>
      <c r="I463" s="1">
        <f t="shared" si="21"/>
        <v>44.666666666666664</v>
      </c>
      <c r="J463" t="str">
        <f t="shared" si="22"/>
        <v>Average</v>
      </c>
      <c r="K463" t="str">
        <f t="shared" si="23"/>
        <v>Pass</v>
      </c>
    </row>
    <row r="464" spans="1:11" x14ac:dyDescent="0.25">
      <c r="A464" t="s">
        <v>13</v>
      </c>
      <c r="B464" t="s">
        <v>23</v>
      </c>
      <c r="C464" t="s">
        <v>19</v>
      </c>
      <c r="D464" t="s">
        <v>16</v>
      </c>
      <c r="E464" t="s">
        <v>12</v>
      </c>
      <c r="F464" s="1">
        <v>28</v>
      </c>
      <c r="G464" s="1">
        <v>44</v>
      </c>
      <c r="H464" s="1">
        <v>50</v>
      </c>
      <c r="I464" s="1">
        <f t="shared" si="21"/>
        <v>40.666666666666664</v>
      </c>
      <c r="J464" t="str">
        <f t="shared" si="22"/>
        <v>Average</v>
      </c>
      <c r="K464" t="str">
        <f t="shared" si="23"/>
        <v>Pass</v>
      </c>
    </row>
    <row r="465" spans="1:11" x14ac:dyDescent="0.25">
      <c r="A465" t="s">
        <v>13</v>
      </c>
      <c r="B465" t="s">
        <v>23</v>
      </c>
      <c r="C465" t="s">
        <v>22</v>
      </c>
      <c r="D465" t="s">
        <v>16</v>
      </c>
      <c r="E465" t="s">
        <v>17</v>
      </c>
      <c r="F465" s="1">
        <v>69</v>
      </c>
      <c r="G465" s="1">
        <v>73</v>
      </c>
      <c r="H465" s="1">
        <v>71</v>
      </c>
      <c r="I465" s="1">
        <f t="shared" si="21"/>
        <v>71</v>
      </c>
      <c r="J465" t="str">
        <f t="shared" si="22"/>
        <v>Good</v>
      </c>
      <c r="K465" t="str">
        <f t="shared" si="23"/>
        <v>Pass</v>
      </c>
    </row>
    <row r="466" spans="1:11" x14ac:dyDescent="0.25">
      <c r="A466" t="s">
        <v>13</v>
      </c>
      <c r="B466" t="s">
        <v>14</v>
      </c>
      <c r="C466" t="s">
        <v>15</v>
      </c>
      <c r="D466" t="s">
        <v>16</v>
      </c>
      <c r="E466" t="s">
        <v>17</v>
      </c>
      <c r="F466" s="1">
        <v>49</v>
      </c>
      <c r="G466" s="1">
        <v>62</v>
      </c>
      <c r="H466" s="1">
        <v>60</v>
      </c>
      <c r="I466" s="1">
        <f t="shared" si="21"/>
        <v>57</v>
      </c>
      <c r="J466" t="str">
        <f t="shared" si="22"/>
        <v>Average</v>
      </c>
      <c r="K466" t="str">
        <f t="shared" si="23"/>
        <v>Pass</v>
      </c>
    </row>
    <row r="467" spans="1:11" x14ac:dyDescent="0.25">
      <c r="A467" t="s">
        <v>8</v>
      </c>
      <c r="B467" t="s">
        <v>20</v>
      </c>
      <c r="C467" t="s">
        <v>15</v>
      </c>
      <c r="D467" t="s">
        <v>11</v>
      </c>
      <c r="E467" t="s">
        <v>12</v>
      </c>
      <c r="F467" s="1">
        <v>67</v>
      </c>
      <c r="G467" s="1">
        <v>62</v>
      </c>
      <c r="H467" s="1">
        <v>58</v>
      </c>
      <c r="I467" s="1">
        <f t="shared" si="21"/>
        <v>62.333333333333336</v>
      </c>
      <c r="J467" t="str">
        <f t="shared" si="22"/>
        <v>Good</v>
      </c>
      <c r="K467" t="str">
        <f t="shared" si="23"/>
        <v>Pass</v>
      </c>
    </row>
    <row r="468" spans="1:11" x14ac:dyDescent="0.25">
      <c r="A468" t="s">
        <v>13</v>
      </c>
      <c r="B468" t="s">
        <v>20</v>
      </c>
      <c r="C468" t="s">
        <v>19</v>
      </c>
      <c r="D468" t="s">
        <v>16</v>
      </c>
      <c r="E468" t="s">
        <v>12</v>
      </c>
      <c r="F468" s="1">
        <v>74</v>
      </c>
      <c r="G468" s="1">
        <v>85</v>
      </c>
      <c r="H468" s="1">
        <v>82</v>
      </c>
      <c r="I468" s="1">
        <f t="shared" si="21"/>
        <v>80.333333333333329</v>
      </c>
      <c r="J468" t="str">
        <f t="shared" si="22"/>
        <v>Excellent</v>
      </c>
      <c r="K468" t="str">
        <f t="shared" si="23"/>
        <v>Pass</v>
      </c>
    </row>
    <row r="469" spans="1:11" x14ac:dyDescent="0.25">
      <c r="A469" t="s">
        <v>13</v>
      </c>
      <c r="B469" t="s">
        <v>23</v>
      </c>
      <c r="C469" t="s">
        <v>22</v>
      </c>
      <c r="D469" t="s">
        <v>11</v>
      </c>
      <c r="E469" t="s">
        <v>12</v>
      </c>
      <c r="F469" s="1">
        <v>47</v>
      </c>
      <c r="G469" s="1">
        <v>67</v>
      </c>
      <c r="H469" s="1">
        <v>63</v>
      </c>
      <c r="I469" s="1">
        <f t="shared" si="21"/>
        <v>59</v>
      </c>
      <c r="J469" t="str">
        <f t="shared" si="22"/>
        <v>Average</v>
      </c>
      <c r="K469" t="str">
        <f t="shared" si="23"/>
        <v>Pass</v>
      </c>
    </row>
    <row r="470" spans="1:11" x14ac:dyDescent="0.25">
      <c r="A470" t="s">
        <v>13</v>
      </c>
      <c r="B470" t="s">
        <v>23</v>
      </c>
      <c r="C470" t="s">
        <v>19</v>
      </c>
      <c r="D470" t="s">
        <v>11</v>
      </c>
      <c r="E470" t="s">
        <v>17</v>
      </c>
      <c r="F470" s="1">
        <v>63</v>
      </c>
      <c r="G470" s="1">
        <v>63</v>
      </c>
      <c r="H470" s="1">
        <v>69</v>
      </c>
      <c r="I470" s="1">
        <f t="shared" si="21"/>
        <v>65</v>
      </c>
      <c r="J470" t="str">
        <f t="shared" si="22"/>
        <v>Good</v>
      </c>
      <c r="K470" t="str">
        <f t="shared" si="23"/>
        <v>Pass</v>
      </c>
    </row>
    <row r="471" spans="1:11" x14ac:dyDescent="0.25">
      <c r="A471" t="s">
        <v>8</v>
      </c>
      <c r="B471" t="s">
        <v>23</v>
      </c>
      <c r="C471" t="s">
        <v>19</v>
      </c>
      <c r="D471" t="s">
        <v>11</v>
      </c>
      <c r="E471" t="s">
        <v>17</v>
      </c>
      <c r="F471" s="1">
        <v>73</v>
      </c>
      <c r="G471" s="1">
        <v>51</v>
      </c>
      <c r="H471" s="1">
        <v>53</v>
      </c>
      <c r="I471" s="1">
        <f t="shared" si="21"/>
        <v>59</v>
      </c>
      <c r="J471" t="str">
        <f t="shared" si="22"/>
        <v>Average</v>
      </c>
      <c r="K471" t="str">
        <f t="shared" si="23"/>
        <v>Pass</v>
      </c>
    </row>
    <row r="472" spans="1:11" x14ac:dyDescent="0.25">
      <c r="A472" t="s">
        <v>13</v>
      </c>
      <c r="B472" t="s">
        <v>14</v>
      </c>
      <c r="C472" t="s">
        <v>19</v>
      </c>
      <c r="D472" t="s">
        <v>11</v>
      </c>
      <c r="E472" t="s">
        <v>17</v>
      </c>
      <c r="F472" s="1">
        <v>91</v>
      </c>
      <c r="G472" s="1">
        <v>94</v>
      </c>
      <c r="H472" s="1">
        <v>96</v>
      </c>
      <c r="I472" s="1">
        <f t="shared" si="21"/>
        <v>93.666666666666671</v>
      </c>
      <c r="J472" t="str">
        <f t="shared" si="22"/>
        <v>Excellent</v>
      </c>
      <c r="K472" t="str">
        <f t="shared" si="23"/>
        <v>Pass</v>
      </c>
    </row>
    <row r="473" spans="1:11" x14ac:dyDescent="0.25">
      <c r="A473" t="s">
        <v>8</v>
      </c>
      <c r="B473" t="s">
        <v>20</v>
      </c>
      <c r="C473" t="s">
        <v>19</v>
      </c>
      <c r="D473" t="s">
        <v>11</v>
      </c>
      <c r="E473" t="s">
        <v>17</v>
      </c>
      <c r="F473" s="1">
        <v>80</v>
      </c>
      <c r="G473" s="1">
        <v>87</v>
      </c>
      <c r="H473" s="1">
        <v>79</v>
      </c>
      <c r="I473" s="1">
        <f t="shared" si="21"/>
        <v>82</v>
      </c>
      <c r="J473" t="str">
        <f t="shared" si="22"/>
        <v>Excellent</v>
      </c>
      <c r="K473" t="str">
        <f t="shared" si="23"/>
        <v>Pass</v>
      </c>
    </row>
    <row r="474" spans="1:11" x14ac:dyDescent="0.25">
      <c r="A474" t="s">
        <v>13</v>
      </c>
      <c r="B474" t="s">
        <v>23</v>
      </c>
      <c r="C474" t="s">
        <v>21</v>
      </c>
      <c r="D474" t="s">
        <v>11</v>
      </c>
      <c r="E474" t="s">
        <v>17</v>
      </c>
      <c r="F474" s="1">
        <v>66</v>
      </c>
      <c r="G474" s="1">
        <v>73</v>
      </c>
      <c r="H474" s="1">
        <v>68</v>
      </c>
      <c r="I474" s="1">
        <f t="shared" si="21"/>
        <v>69</v>
      </c>
      <c r="J474" t="str">
        <f t="shared" si="22"/>
        <v>Good</v>
      </c>
      <c r="K474" t="str">
        <f t="shared" si="23"/>
        <v>Pass</v>
      </c>
    </row>
    <row r="475" spans="1:11" x14ac:dyDescent="0.25">
      <c r="A475" t="s">
        <v>8</v>
      </c>
      <c r="B475" t="s">
        <v>20</v>
      </c>
      <c r="C475" t="s">
        <v>19</v>
      </c>
      <c r="D475" t="s">
        <v>11</v>
      </c>
      <c r="E475" t="s">
        <v>17</v>
      </c>
      <c r="F475" s="1">
        <v>52</v>
      </c>
      <c r="G475" s="1">
        <v>48</v>
      </c>
      <c r="H475" s="1">
        <v>43</v>
      </c>
      <c r="I475" s="1">
        <f t="shared" si="21"/>
        <v>47.666666666666664</v>
      </c>
      <c r="J475" t="str">
        <f t="shared" si="22"/>
        <v>Average</v>
      </c>
      <c r="K475" t="str">
        <f t="shared" si="23"/>
        <v>Pass</v>
      </c>
    </row>
    <row r="476" spans="1:11" x14ac:dyDescent="0.25">
      <c r="A476" t="s">
        <v>13</v>
      </c>
      <c r="B476" t="s">
        <v>20</v>
      </c>
      <c r="C476" t="s">
        <v>19</v>
      </c>
      <c r="D476" t="s">
        <v>11</v>
      </c>
      <c r="E476" t="s">
        <v>17</v>
      </c>
      <c r="F476" s="1">
        <v>65</v>
      </c>
      <c r="G476" s="1">
        <v>71</v>
      </c>
      <c r="H476" s="1">
        <v>65</v>
      </c>
      <c r="I476" s="1">
        <f t="shared" si="21"/>
        <v>67</v>
      </c>
      <c r="J476" t="str">
        <f t="shared" si="22"/>
        <v>Good</v>
      </c>
      <c r="K476" t="str">
        <f t="shared" si="23"/>
        <v>Pass</v>
      </c>
    </row>
    <row r="477" spans="1:11" x14ac:dyDescent="0.25">
      <c r="A477" t="s">
        <v>8</v>
      </c>
      <c r="B477" t="s">
        <v>14</v>
      </c>
      <c r="C477" t="s">
        <v>19</v>
      </c>
      <c r="D477" t="s">
        <v>11</v>
      </c>
      <c r="E477" t="s">
        <v>12</v>
      </c>
      <c r="F477" s="1">
        <v>83</v>
      </c>
      <c r="G477" s="1">
        <v>75</v>
      </c>
      <c r="H477" s="1">
        <v>71</v>
      </c>
      <c r="I477" s="1">
        <f t="shared" si="21"/>
        <v>76.333333333333329</v>
      </c>
      <c r="J477" t="str">
        <f t="shared" si="22"/>
        <v>Good</v>
      </c>
      <c r="K477" t="str">
        <f t="shared" si="23"/>
        <v>Pass</v>
      </c>
    </row>
    <row r="478" spans="1:11" x14ac:dyDescent="0.25">
      <c r="A478" t="s">
        <v>13</v>
      </c>
      <c r="B478" t="s">
        <v>23</v>
      </c>
      <c r="C478" t="s">
        <v>15</v>
      </c>
      <c r="D478" t="s">
        <v>16</v>
      </c>
      <c r="E478" t="s">
        <v>17</v>
      </c>
      <c r="F478" s="1">
        <v>80</v>
      </c>
      <c r="G478" s="1">
        <v>85</v>
      </c>
      <c r="H478" s="1">
        <v>78</v>
      </c>
      <c r="I478" s="1">
        <f t="shared" si="21"/>
        <v>81</v>
      </c>
      <c r="J478" t="str">
        <f t="shared" si="22"/>
        <v>Excellent</v>
      </c>
      <c r="K478" t="str">
        <f t="shared" si="23"/>
        <v>Pass</v>
      </c>
    </row>
    <row r="479" spans="1:11" x14ac:dyDescent="0.25">
      <c r="A479" t="s">
        <v>8</v>
      </c>
      <c r="B479" t="s">
        <v>18</v>
      </c>
      <c r="C479" t="s">
        <v>22</v>
      </c>
      <c r="D479" t="s">
        <v>16</v>
      </c>
      <c r="E479" t="s">
        <v>17</v>
      </c>
      <c r="F479" s="1">
        <v>68</v>
      </c>
      <c r="G479" s="1">
        <v>68</v>
      </c>
      <c r="H479" s="1">
        <v>59</v>
      </c>
      <c r="I479" s="1">
        <f t="shared" si="21"/>
        <v>65</v>
      </c>
      <c r="J479" t="str">
        <f t="shared" si="22"/>
        <v>Good</v>
      </c>
      <c r="K479" t="str">
        <f t="shared" si="23"/>
        <v>Pass</v>
      </c>
    </row>
    <row r="480" spans="1:11" x14ac:dyDescent="0.25">
      <c r="A480" t="s">
        <v>8</v>
      </c>
      <c r="B480" t="s">
        <v>23</v>
      </c>
      <c r="C480" t="s">
        <v>19</v>
      </c>
      <c r="D480" t="s">
        <v>16</v>
      </c>
      <c r="E480" t="s">
        <v>12</v>
      </c>
      <c r="F480" s="1">
        <v>68</v>
      </c>
      <c r="G480" s="1">
        <v>73</v>
      </c>
      <c r="H480" s="1">
        <v>68</v>
      </c>
      <c r="I480" s="1">
        <f t="shared" si="21"/>
        <v>69.666666666666671</v>
      </c>
      <c r="J480" t="str">
        <f t="shared" si="22"/>
        <v>Good</v>
      </c>
      <c r="K480" t="str">
        <f t="shared" si="23"/>
        <v>Pass</v>
      </c>
    </row>
    <row r="481" spans="1:11" x14ac:dyDescent="0.25">
      <c r="A481" t="s">
        <v>8</v>
      </c>
      <c r="B481" t="s">
        <v>23</v>
      </c>
      <c r="C481" t="s">
        <v>21</v>
      </c>
      <c r="D481" t="s">
        <v>16</v>
      </c>
      <c r="E481" t="s">
        <v>17</v>
      </c>
      <c r="F481" s="1">
        <v>62</v>
      </c>
      <c r="G481" s="1">
        <v>43</v>
      </c>
      <c r="H481" s="1">
        <v>45</v>
      </c>
      <c r="I481" s="1">
        <f t="shared" si="21"/>
        <v>50</v>
      </c>
      <c r="J481" t="str">
        <f t="shared" si="22"/>
        <v>Average</v>
      </c>
      <c r="K481" t="str">
        <f t="shared" si="23"/>
        <v>Pass</v>
      </c>
    </row>
    <row r="482" spans="1:11" x14ac:dyDescent="0.25">
      <c r="A482" t="s">
        <v>13</v>
      </c>
      <c r="B482" t="s">
        <v>20</v>
      </c>
      <c r="C482" t="s">
        <v>15</v>
      </c>
      <c r="D482" t="s">
        <v>11</v>
      </c>
      <c r="E482" t="s">
        <v>17</v>
      </c>
      <c r="F482" s="1">
        <v>76</v>
      </c>
      <c r="G482" s="1">
        <v>88</v>
      </c>
      <c r="H482" s="1">
        <v>84</v>
      </c>
      <c r="I482" s="1">
        <f t="shared" si="21"/>
        <v>82.666666666666671</v>
      </c>
      <c r="J482" t="str">
        <f t="shared" si="22"/>
        <v>Excellent</v>
      </c>
      <c r="K482" t="str">
        <f t="shared" si="23"/>
        <v>Pass</v>
      </c>
    </row>
    <row r="483" spans="1:11" x14ac:dyDescent="0.25">
      <c r="A483" t="s">
        <v>13</v>
      </c>
      <c r="B483" t="s">
        <v>23</v>
      </c>
      <c r="C483" t="s">
        <v>22</v>
      </c>
      <c r="D483" t="s">
        <v>16</v>
      </c>
      <c r="E483" t="s">
        <v>17</v>
      </c>
      <c r="F483" s="1">
        <v>77</v>
      </c>
      <c r="G483" s="1">
        <v>79</v>
      </c>
      <c r="H483" s="1">
        <v>83</v>
      </c>
      <c r="I483" s="1">
        <f t="shared" si="21"/>
        <v>79.666666666666671</v>
      </c>
      <c r="J483" t="str">
        <f t="shared" si="22"/>
        <v>Good</v>
      </c>
      <c r="K483" t="str">
        <f t="shared" si="23"/>
        <v>Pass</v>
      </c>
    </row>
    <row r="484" spans="1:11" x14ac:dyDescent="0.25">
      <c r="A484" t="s">
        <v>13</v>
      </c>
      <c r="B484" t="s">
        <v>18</v>
      </c>
      <c r="C484" t="s">
        <v>24</v>
      </c>
      <c r="D484" t="s">
        <v>16</v>
      </c>
      <c r="E484" t="s">
        <v>17</v>
      </c>
      <c r="F484" s="1">
        <v>83</v>
      </c>
      <c r="G484" s="1">
        <v>81</v>
      </c>
      <c r="H484" s="1">
        <v>83</v>
      </c>
      <c r="I484" s="1">
        <f t="shared" si="21"/>
        <v>82.333333333333329</v>
      </c>
      <c r="J484" t="str">
        <f t="shared" si="22"/>
        <v>Excellent</v>
      </c>
      <c r="K484" t="str">
        <f t="shared" si="23"/>
        <v>Pass</v>
      </c>
    </row>
    <row r="485" spans="1:11" x14ac:dyDescent="0.25">
      <c r="A485" t="s">
        <v>13</v>
      </c>
      <c r="B485" t="s">
        <v>23</v>
      </c>
      <c r="C485" t="s">
        <v>19</v>
      </c>
      <c r="D485" t="s">
        <v>16</v>
      </c>
      <c r="E485" t="s">
        <v>17</v>
      </c>
      <c r="F485" s="1">
        <v>71</v>
      </c>
      <c r="G485" s="1">
        <v>78</v>
      </c>
      <c r="H485" s="1">
        <v>82</v>
      </c>
      <c r="I485" s="1">
        <f t="shared" si="21"/>
        <v>77</v>
      </c>
      <c r="J485" t="str">
        <f t="shared" si="22"/>
        <v>Good</v>
      </c>
      <c r="K485" t="str">
        <f t="shared" si="23"/>
        <v>Pass</v>
      </c>
    </row>
    <row r="486" spans="1:11" x14ac:dyDescent="0.25">
      <c r="A486" t="s">
        <v>8</v>
      </c>
      <c r="B486" t="s">
        <v>14</v>
      </c>
      <c r="C486" t="s">
        <v>19</v>
      </c>
      <c r="D486" t="s">
        <v>16</v>
      </c>
      <c r="E486" t="s">
        <v>12</v>
      </c>
      <c r="F486" s="1">
        <v>86</v>
      </c>
      <c r="G486" s="1">
        <v>91</v>
      </c>
      <c r="H486" s="1">
        <v>89</v>
      </c>
      <c r="I486" s="1">
        <f t="shared" si="21"/>
        <v>88.666666666666671</v>
      </c>
      <c r="J486" t="str">
        <f t="shared" si="22"/>
        <v>Excellent</v>
      </c>
      <c r="K486" t="str">
        <f t="shared" si="23"/>
        <v>Pass</v>
      </c>
    </row>
    <row r="487" spans="1:11" x14ac:dyDescent="0.25">
      <c r="A487" t="s">
        <v>8</v>
      </c>
      <c r="B487" t="s">
        <v>20</v>
      </c>
      <c r="C487" t="s">
        <v>24</v>
      </c>
      <c r="D487" t="s">
        <v>11</v>
      </c>
      <c r="E487" t="s">
        <v>17</v>
      </c>
      <c r="F487" s="1">
        <v>93</v>
      </c>
      <c r="G487" s="1">
        <v>96</v>
      </c>
      <c r="H487" s="1">
        <v>96</v>
      </c>
      <c r="I487" s="1">
        <f t="shared" si="21"/>
        <v>95</v>
      </c>
      <c r="J487" t="str">
        <f t="shared" si="22"/>
        <v>Excellent</v>
      </c>
      <c r="K487" t="str">
        <f t="shared" si="23"/>
        <v>Pass</v>
      </c>
    </row>
    <row r="488" spans="1:11" x14ac:dyDescent="0.25">
      <c r="A488" t="s">
        <v>13</v>
      </c>
      <c r="B488" t="s">
        <v>20</v>
      </c>
      <c r="C488" t="s">
        <v>21</v>
      </c>
      <c r="D488" t="s">
        <v>16</v>
      </c>
      <c r="E488" t="s">
        <v>17</v>
      </c>
      <c r="F488" s="1">
        <v>60</v>
      </c>
      <c r="G488" s="1">
        <v>64</v>
      </c>
      <c r="H488" s="1">
        <v>60</v>
      </c>
      <c r="I488" s="1">
        <f t="shared" si="21"/>
        <v>61.333333333333336</v>
      </c>
      <c r="J488" t="str">
        <f t="shared" si="22"/>
        <v>Good</v>
      </c>
      <c r="K488" t="str">
        <f t="shared" si="23"/>
        <v>Pass</v>
      </c>
    </row>
    <row r="489" spans="1:11" x14ac:dyDescent="0.25">
      <c r="A489" t="s">
        <v>13</v>
      </c>
      <c r="B489" t="s">
        <v>14</v>
      </c>
      <c r="C489" t="s">
        <v>15</v>
      </c>
      <c r="D489" t="s">
        <v>11</v>
      </c>
      <c r="E489" t="s">
        <v>17</v>
      </c>
      <c r="F489" s="1">
        <v>57</v>
      </c>
      <c r="G489" s="1">
        <v>56</v>
      </c>
      <c r="H489" s="1">
        <v>58</v>
      </c>
      <c r="I489" s="1">
        <f t="shared" si="21"/>
        <v>57</v>
      </c>
      <c r="J489" t="str">
        <f t="shared" si="22"/>
        <v>Average</v>
      </c>
      <c r="K489" t="str">
        <f t="shared" si="23"/>
        <v>Pass</v>
      </c>
    </row>
    <row r="490" spans="1:11" x14ac:dyDescent="0.25">
      <c r="A490" t="s">
        <v>8</v>
      </c>
      <c r="B490" t="s">
        <v>23</v>
      </c>
      <c r="C490" t="s">
        <v>22</v>
      </c>
      <c r="D490" t="s">
        <v>11</v>
      </c>
      <c r="E490" t="s">
        <v>17</v>
      </c>
      <c r="F490" s="1">
        <v>84</v>
      </c>
      <c r="G490" s="1">
        <v>79</v>
      </c>
      <c r="H490" s="1">
        <v>74</v>
      </c>
      <c r="I490" s="1">
        <f t="shared" si="21"/>
        <v>79</v>
      </c>
      <c r="J490" t="str">
        <f t="shared" si="22"/>
        <v>Good</v>
      </c>
      <c r="K490" t="str">
        <f t="shared" si="23"/>
        <v>Pass</v>
      </c>
    </row>
    <row r="491" spans="1:11" x14ac:dyDescent="0.25">
      <c r="A491" t="s">
        <v>13</v>
      </c>
      <c r="B491" t="s">
        <v>14</v>
      </c>
      <c r="C491" t="s">
        <v>22</v>
      </c>
      <c r="D491" t="s">
        <v>11</v>
      </c>
      <c r="E491" t="s">
        <v>17</v>
      </c>
      <c r="F491" s="1">
        <v>66</v>
      </c>
      <c r="G491" s="1">
        <v>71</v>
      </c>
      <c r="H491" s="1">
        <v>75</v>
      </c>
      <c r="I491" s="1">
        <f t="shared" si="21"/>
        <v>70.666666666666671</v>
      </c>
      <c r="J491" t="str">
        <f t="shared" si="22"/>
        <v>Good</v>
      </c>
      <c r="K491" t="str">
        <f t="shared" si="23"/>
        <v>Pass</v>
      </c>
    </row>
    <row r="492" spans="1:11" x14ac:dyDescent="0.25">
      <c r="A492" t="s">
        <v>8</v>
      </c>
      <c r="B492" t="s">
        <v>14</v>
      </c>
      <c r="C492" t="s">
        <v>24</v>
      </c>
      <c r="D492" t="s">
        <v>11</v>
      </c>
      <c r="E492" t="s">
        <v>17</v>
      </c>
      <c r="F492" s="1">
        <v>85</v>
      </c>
      <c r="G492" s="1">
        <v>69</v>
      </c>
      <c r="H492" s="1">
        <v>74</v>
      </c>
      <c r="I492" s="1">
        <f t="shared" si="21"/>
        <v>76</v>
      </c>
      <c r="J492" t="str">
        <f t="shared" si="22"/>
        <v>Good</v>
      </c>
      <c r="K492" t="str">
        <f t="shared" si="23"/>
        <v>Pass</v>
      </c>
    </row>
    <row r="493" spans="1:11" x14ac:dyDescent="0.25">
      <c r="A493" t="s">
        <v>13</v>
      </c>
      <c r="B493" t="s">
        <v>14</v>
      </c>
      <c r="C493" t="s">
        <v>24</v>
      </c>
      <c r="D493" t="s">
        <v>11</v>
      </c>
      <c r="E493" t="s">
        <v>12</v>
      </c>
      <c r="F493" s="1">
        <v>57</v>
      </c>
      <c r="G493" s="1">
        <v>68</v>
      </c>
      <c r="H493" s="1">
        <v>76</v>
      </c>
      <c r="I493" s="1">
        <f t="shared" si="21"/>
        <v>67</v>
      </c>
      <c r="J493" t="str">
        <f t="shared" si="22"/>
        <v>Good</v>
      </c>
      <c r="K493" t="str">
        <f t="shared" si="23"/>
        <v>Pass</v>
      </c>
    </row>
    <row r="494" spans="1:11" x14ac:dyDescent="0.25">
      <c r="A494" t="s">
        <v>13</v>
      </c>
      <c r="B494" t="s">
        <v>23</v>
      </c>
      <c r="C494" t="s">
        <v>15</v>
      </c>
      <c r="D494" t="s">
        <v>11</v>
      </c>
      <c r="E494" t="s">
        <v>17</v>
      </c>
      <c r="F494" s="1">
        <v>41</v>
      </c>
      <c r="G494" s="1">
        <v>49</v>
      </c>
      <c r="H494" s="1">
        <v>49</v>
      </c>
      <c r="I494" s="1">
        <f t="shared" si="21"/>
        <v>46.333333333333336</v>
      </c>
      <c r="J494" t="str">
        <f t="shared" si="22"/>
        <v>Average</v>
      </c>
      <c r="K494" t="str">
        <f t="shared" si="23"/>
        <v>Pass</v>
      </c>
    </row>
    <row r="495" spans="1:11" x14ac:dyDescent="0.25">
      <c r="A495" t="s">
        <v>13</v>
      </c>
      <c r="B495" t="s">
        <v>23</v>
      </c>
      <c r="C495" t="s">
        <v>15</v>
      </c>
      <c r="D495" t="s">
        <v>11</v>
      </c>
      <c r="E495" t="s">
        <v>17</v>
      </c>
      <c r="F495" s="1">
        <v>75</v>
      </c>
      <c r="G495" s="1">
        <v>76</v>
      </c>
      <c r="H495" s="1">
        <v>76</v>
      </c>
      <c r="I495" s="1">
        <f t="shared" si="21"/>
        <v>75.666666666666671</v>
      </c>
      <c r="J495" t="str">
        <f t="shared" si="22"/>
        <v>Good</v>
      </c>
      <c r="K495" t="str">
        <f t="shared" si="23"/>
        <v>Pass</v>
      </c>
    </row>
    <row r="496" spans="1:11" x14ac:dyDescent="0.25">
      <c r="A496" t="s">
        <v>8</v>
      </c>
      <c r="B496" t="s">
        <v>14</v>
      </c>
      <c r="C496" t="s">
        <v>10</v>
      </c>
      <c r="D496" t="s">
        <v>16</v>
      </c>
      <c r="E496" t="s">
        <v>17</v>
      </c>
      <c r="F496" s="1">
        <v>65</v>
      </c>
      <c r="G496" s="1">
        <v>63</v>
      </c>
      <c r="H496" s="1">
        <v>60</v>
      </c>
      <c r="I496" s="1">
        <f t="shared" si="21"/>
        <v>62.666666666666664</v>
      </c>
      <c r="J496" t="str">
        <f t="shared" si="22"/>
        <v>Good</v>
      </c>
      <c r="K496" t="str">
        <f t="shared" si="23"/>
        <v>Pass</v>
      </c>
    </row>
    <row r="497" spans="1:11" x14ac:dyDescent="0.25">
      <c r="A497" t="s">
        <v>8</v>
      </c>
      <c r="B497" t="s">
        <v>18</v>
      </c>
      <c r="C497" t="s">
        <v>19</v>
      </c>
      <c r="D497" t="s">
        <v>11</v>
      </c>
      <c r="E497" t="s">
        <v>17</v>
      </c>
      <c r="F497" s="1">
        <v>78</v>
      </c>
      <c r="G497" s="1">
        <v>65</v>
      </c>
      <c r="H497" s="1">
        <v>60</v>
      </c>
      <c r="I497" s="1">
        <f t="shared" si="21"/>
        <v>67.666666666666671</v>
      </c>
      <c r="J497" t="str">
        <f t="shared" si="22"/>
        <v>Good</v>
      </c>
      <c r="K497" t="str">
        <f t="shared" si="23"/>
        <v>Pass</v>
      </c>
    </row>
    <row r="498" spans="1:11" x14ac:dyDescent="0.25">
      <c r="A498" t="s">
        <v>13</v>
      </c>
      <c r="B498" t="s">
        <v>20</v>
      </c>
      <c r="C498" t="s">
        <v>15</v>
      </c>
      <c r="D498" t="s">
        <v>16</v>
      </c>
      <c r="E498" t="s">
        <v>17</v>
      </c>
      <c r="F498" s="1">
        <v>26</v>
      </c>
      <c r="G498" s="1">
        <v>34</v>
      </c>
      <c r="H498" s="1">
        <v>28</v>
      </c>
      <c r="I498" s="1">
        <f t="shared" si="21"/>
        <v>29.333333333333332</v>
      </c>
      <c r="J498" t="str">
        <f t="shared" si="22"/>
        <v>Poor</v>
      </c>
      <c r="K498" t="str">
        <f t="shared" si="23"/>
        <v>Fail</v>
      </c>
    </row>
    <row r="499" spans="1:11" x14ac:dyDescent="0.25">
      <c r="A499" t="s">
        <v>8</v>
      </c>
      <c r="B499" t="s">
        <v>18</v>
      </c>
      <c r="C499" t="s">
        <v>19</v>
      </c>
      <c r="D499" t="s">
        <v>16</v>
      </c>
      <c r="E499" t="s">
        <v>17</v>
      </c>
      <c r="F499" s="1">
        <v>71</v>
      </c>
      <c r="G499" s="1">
        <v>64</v>
      </c>
      <c r="H499" s="1">
        <v>66</v>
      </c>
      <c r="I499" s="1">
        <f t="shared" si="21"/>
        <v>67</v>
      </c>
      <c r="J499" t="str">
        <f t="shared" si="22"/>
        <v>Good</v>
      </c>
      <c r="K499" t="str">
        <f t="shared" si="23"/>
        <v>Pass</v>
      </c>
    </row>
    <row r="500" spans="1:11" x14ac:dyDescent="0.25">
      <c r="A500" t="s">
        <v>8</v>
      </c>
      <c r="B500" t="s">
        <v>20</v>
      </c>
      <c r="C500" t="s">
        <v>22</v>
      </c>
      <c r="D500" t="s">
        <v>11</v>
      </c>
      <c r="E500" t="s">
        <v>12</v>
      </c>
      <c r="F500" s="1">
        <v>86</v>
      </c>
      <c r="G500" s="1">
        <v>92</v>
      </c>
      <c r="H500" s="1">
        <v>93</v>
      </c>
      <c r="I500" s="1">
        <f t="shared" si="21"/>
        <v>90.333333333333329</v>
      </c>
      <c r="J500" t="str">
        <f t="shared" si="22"/>
        <v>Excellent</v>
      </c>
      <c r="K500" t="str">
        <f t="shared" si="23"/>
        <v>Pass</v>
      </c>
    </row>
    <row r="501" spans="1:11" x14ac:dyDescent="0.25">
      <c r="A501" t="s">
        <v>8</v>
      </c>
      <c r="B501" t="s">
        <v>20</v>
      </c>
      <c r="C501" t="s">
        <v>21</v>
      </c>
      <c r="D501" t="s">
        <v>11</v>
      </c>
      <c r="E501" t="s">
        <v>12</v>
      </c>
      <c r="F501" s="1">
        <v>89</v>
      </c>
      <c r="G501" s="1">
        <v>84</v>
      </c>
      <c r="H501" s="1">
        <v>81</v>
      </c>
      <c r="I501" s="1">
        <f t="shared" si="21"/>
        <v>84.666666666666671</v>
      </c>
      <c r="J501" t="str">
        <f t="shared" si="22"/>
        <v>Excellent</v>
      </c>
      <c r="K501" t="str">
        <f t="shared" si="23"/>
        <v>Pass</v>
      </c>
    </row>
    <row r="502" spans="1:11" x14ac:dyDescent="0.25">
      <c r="A502" t="s">
        <v>13</v>
      </c>
      <c r="B502" t="s">
        <v>20</v>
      </c>
      <c r="C502" t="s">
        <v>10</v>
      </c>
      <c r="D502" t="s">
        <v>16</v>
      </c>
      <c r="E502" t="s">
        <v>17</v>
      </c>
      <c r="F502" s="1">
        <v>53</v>
      </c>
      <c r="G502" s="1">
        <v>64</v>
      </c>
      <c r="H502" s="1">
        <v>63</v>
      </c>
      <c r="I502" s="1">
        <f t="shared" si="21"/>
        <v>60</v>
      </c>
      <c r="J502" t="str">
        <f t="shared" si="22"/>
        <v>Good</v>
      </c>
      <c r="K502" t="str">
        <f t="shared" si="23"/>
        <v>Pass</v>
      </c>
    </row>
    <row r="503" spans="1:11" x14ac:dyDescent="0.25">
      <c r="A503" t="s">
        <v>13</v>
      </c>
      <c r="B503" t="s">
        <v>23</v>
      </c>
      <c r="C503" t="s">
        <v>21</v>
      </c>
      <c r="D503" t="s">
        <v>11</v>
      </c>
      <c r="E503" t="s">
        <v>17</v>
      </c>
      <c r="F503" s="1">
        <v>87</v>
      </c>
      <c r="G503" s="1">
        <v>87</v>
      </c>
      <c r="H503" s="1">
        <v>92</v>
      </c>
      <c r="I503" s="1">
        <f t="shared" si="21"/>
        <v>88.666666666666671</v>
      </c>
      <c r="J503" t="str">
        <f t="shared" si="22"/>
        <v>Excellent</v>
      </c>
      <c r="K503" t="str">
        <f t="shared" si="23"/>
        <v>Pass</v>
      </c>
    </row>
    <row r="504" spans="1:11" x14ac:dyDescent="0.25">
      <c r="A504" t="s">
        <v>8</v>
      </c>
      <c r="B504" t="s">
        <v>14</v>
      </c>
      <c r="C504" t="s">
        <v>21</v>
      </c>
      <c r="D504" t="s">
        <v>11</v>
      </c>
      <c r="E504" t="s">
        <v>17</v>
      </c>
      <c r="F504" s="1">
        <v>71</v>
      </c>
      <c r="G504" s="1">
        <v>57</v>
      </c>
      <c r="H504" s="1">
        <v>59</v>
      </c>
      <c r="I504" s="1">
        <f t="shared" si="21"/>
        <v>62.333333333333336</v>
      </c>
      <c r="J504" t="str">
        <f t="shared" si="22"/>
        <v>Good</v>
      </c>
      <c r="K504" t="str">
        <f t="shared" si="23"/>
        <v>Pass</v>
      </c>
    </row>
    <row r="505" spans="1:11" x14ac:dyDescent="0.25">
      <c r="A505" t="s">
        <v>8</v>
      </c>
      <c r="B505" t="s">
        <v>14</v>
      </c>
      <c r="C505" t="s">
        <v>10</v>
      </c>
      <c r="D505" t="s">
        <v>11</v>
      </c>
      <c r="E505" t="s">
        <v>17</v>
      </c>
      <c r="F505" s="1">
        <v>77</v>
      </c>
      <c r="G505" s="1">
        <v>80</v>
      </c>
      <c r="H505" s="1">
        <v>72</v>
      </c>
      <c r="I505" s="1">
        <f t="shared" si="21"/>
        <v>76.333333333333329</v>
      </c>
      <c r="J505" t="str">
        <f t="shared" si="22"/>
        <v>Good</v>
      </c>
      <c r="K505" t="str">
        <f t="shared" si="23"/>
        <v>Pass</v>
      </c>
    </row>
    <row r="506" spans="1:11" x14ac:dyDescent="0.25">
      <c r="A506" t="s">
        <v>13</v>
      </c>
      <c r="B506" t="s">
        <v>23</v>
      </c>
      <c r="C506" t="s">
        <v>10</v>
      </c>
      <c r="D506" t="s">
        <v>16</v>
      </c>
      <c r="E506" t="s">
        <v>12</v>
      </c>
      <c r="F506" s="1">
        <v>43</v>
      </c>
      <c r="G506" s="1">
        <v>48</v>
      </c>
      <c r="H506" s="1">
        <v>53</v>
      </c>
      <c r="I506" s="1">
        <f t="shared" si="21"/>
        <v>48</v>
      </c>
      <c r="J506" t="str">
        <f t="shared" si="22"/>
        <v>Average</v>
      </c>
      <c r="K506" t="str">
        <f t="shared" si="23"/>
        <v>Pass</v>
      </c>
    </row>
    <row r="507" spans="1:11" x14ac:dyDescent="0.25">
      <c r="A507" t="s">
        <v>13</v>
      </c>
      <c r="B507" t="s">
        <v>23</v>
      </c>
      <c r="C507" t="s">
        <v>21</v>
      </c>
      <c r="D507" t="s">
        <v>11</v>
      </c>
      <c r="E507" t="s">
        <v>17</v>
      </c>
      <c r="F507" s="1">
        <v>88</v>
      </c>
      <c r="G507" s="1">
        <v>91</v>
      </c>
      <c r="H507" s="1">
        <v>86</v>
      </c>
      <c r="I507" s="1">
        <f t="shared" si="21"/>
        <v>88.333333333333329</v>
      </c>
      <c r="J507" t="str">
        <f t="shared" si="22"/>
        <v>Excellent</v>
      </c>
      <c r="K507" t="str">
        <f t="shared" si="23"/>
        <v>Pass</v>
      </c>
    </row>
    <row r="508" spans="1:11" x14ac:dyDescent="0.25">
      <c r="A508" t="s">
        <v>8</v>
      </c>
      <c r="B508" t="s">
        <v>18</v>
      </c>
      <c r="C508" t="s">
        <v>15</v>
      </c>
      <c r="D508" t="s">
        <v>11</v>
      </c>
      <c r="E508" t="s">
        <v>17</v>
      </c>
      <c r="F508" s="1">
        <v>86</v>
      </c>
      <c r="G508" s="1">
        <v>76</v>
      </c>
      <c r="H508" s="1">
        <v>63</v>
      </c>
      <c r="I508" s="1">
        <f t="shared" si="21"/>
        <v>75</v>
      </c>
      <c r="J508" t="str">
        <f t="shared" si="22"/>
        <v>Good</v>
      </c>
      <c r="K508" t="str">
        <f t="shared" si="23"/>
        <v>Pass</v>
      </c>
    </row>
    <row r="509" spans="1:11" x14ac:dyDescent="0.25">
      <c r="A509" t="s">
        <v>13</v>
      </c>
      <c r="B509" t="s">
        <v>18</v>
      </c>
      <c r="C509" t="s">
        <v>15</v>
      </c>
      <c r="D509" t="s">
        <v>16</v>
      </c>
      <c r="E509" t="s">
        <v>12</v>
      </c>
      <c r="F509" s="1">
        <v>45</v>
      </c>
      <c r="G509" s="1">
        <v>56</v>
      </c>
      <c r="H509" s="1">
        <v>55</v>
      </c>
      <c r="I509" s="1">
        <f t="shared" si="21"/>
        <v>52</v>
      </c>
      <c r="J509" t="str">
        <f t="shared" si="22"/>
        <v>Average</v>
      </c>
      <c r="K509" t="str">
        <f t="shared" si="23"/>
        <v>Pass</v>
      </c>
    </row>
    <row r="510" spans="1:11" x14ac:dyDescent="0.25">
      <c r="A510" t="s">
        <v>8</v>
      </c>
      <c r="B510" t="s">
        <v>23</v>
      </c>
      <c r="C510" t="s">
        <v>19</v>
      </c>
      <c r="D510" t="s">
        <v>11</v>
      </c>
      <c r="E510" t="s">
        <v>17</v>
      </c>
      <c r="F510" s="1">
        <v>69</v>
      </c>
      <c r="G510" s="1">
        <v>56</v>
      </c>
      <c r="H510" s="1">
        <v>57</v>
      </c>
      <c r="I510" s="1">
        <f t="shared" si="21"/>
        <v>60.666666666666664</v>
      </c>
      <c r="J510" t="str">
        <f t="shared" si="22"/>
        <v>Good</v>
      </c>
      <c r="K510" t="str">
        <f t="shared" si="23"/>
        <v>Pass</v>
      </c>
    </row>
    <row r="511" spans="1:11" x14ac:dyDescent="0.25">
      <c r="A511" t="s">
        <v>13</v>
      </c>
      <c r="B511" t="s">
        <v>14</v>
      </c>
      <c r="C511" t="s">
        <v>10</v>
      </c>
      <c r="D511" t="s">
        <v>11</v>
      </c>
      <c r="E511" t="s">
        <v>17</v>
      </c>
      <c r="F511" s="1">
        <v>65</v>
      </c>
      <c r="G511" s="1">
        <v>70</v>
      </c>
      <c r="H511" s="1">
        <v>72</v>
      </c>
      <c r="I511" s="1">
        <f t="shared" si="21"/>
        <v>69</v>
      </c>
      <c r="J511" t="str">
        <f t="shared" si="22"/>
        <v>Good</v>
      </c>
      <c r="K511" t="str">
        <f t="shared" si="23"/>
        <v>Pass</v>
      </c>
    </row>
    <row r="512" spans="1:11" x14ac:dyDescent="0.25">
      <c r="A512" t="s">
        <v>8</v>
      </c>
      <c r="B512" t="s">
        <v>18</v>
      </c>
      <c r="C512" t="s">
        <v>19</v>
      </c>
      <c r="D512" t="s">
        <v>16</v>
      </c>
      <c r="E512" t="s">
        <v>17</v>
      </c>
      <c r="F512" s="1">
        <v>81</v>
      </c>
      <c r="G512" s="1">
        <v>79</v>
      </c>
      <c r="H512" s="1">
        <v>71</v>
      </c>
      <c r="I512" s="1">
        <f t="shared" si="21"/>
        <v>77</v>
      </c>
      <c r="J512" t="str">
        <f t="shared" si="22"/>
        <v>Good</v>
      </c>
      <c r="K512" t="str">
        <f t="shared" si="23"/>
        <v>Pass</v>
      </c>
    </row>
    <row r="513" spans="1:11" x14ac:dyDescent="0.25">
      <c r="A513" t="s">
        <v>13</v>
      </c>
      <c r="B513" t="s">
        <v>9</v>
      </c>
      <c r="C513" t="s">
        <v>15</v>
      </c>
      <c r="D513" t="s">
        <v>11</v>
      </c>
      <c r="E513" t="s">
        <v>17</v>
      </c>
      <c r="F513" s="1">
        <v>90</v>
      </c>
      <c r="G513" s="1">
        <v>88</v>
      </c>
      <c r="H513" s="1">
        <v>86</v>
      </c>
      <c r="I513" s="1">
        <f t="shared" si="21"/>
        <v>88</v>
      </c>
      <c r="J513" t="str">
        <f t="shared" si="22"/>
        <v>Excellent</v>
      </c>
      <c r="K513" t="str">
        <f t="shared" si="23"/>
        <v>Pass</v>
      </c>
    </row>
    <row r="514" spans="1:11" x14ac:dyDescent="0.25">
      <c r="A514" t="s">
        <v>13</v>
      </c>
      <c r="B514" t="s">
        <v>18</v>
      </c>
      <c r="C514" t="s">
        <v>21</v>
      </c>
      <c r="D514" t="s">
        <v>11</v>
      </c>
      <c r="E514" t="s">
        <v>17</v>
      </c>
      <c r="F514" s="1">
        <v>78</v>
      </c>
      <c r="G514" s="1">
        <v>72</v>
      </c>
      <c r="H514" s="1">
        <v>71</v>
      </c>
      <c r="I514" s="1">
        <f t="shared" ref="I514:I577" si="24">AVERAGE(F514:H514)</f>
        <v>73.666666666666671</v>
      </c>
      <c r="J514" t="str">
        <f t="shared" ref="J514:J577" si="25">IF(I514&gt;=80,"Excellent", IF(I514&gt;=60,"Good", IF(I514&gt;=40,"Average","Poor")))</f>
        <v>Good</v>
      </c>
      <c r="K514" t="str">
        <f t="shared" ref="K514:K577" si="26">IF(I514&gt;=40, "Pass","Fail")</f>
        <v>Pass</v>
      </c>
    </row>
    <row r="515" spans="1:11" x14ac:dyDescent="0.25">
      <c r="A515" t="s">
        <v>13</v>
      </c>
      <c r="B515" t="s">
        <v>23</v>
      </c>
      <c r="C515" t="s">
        <v>24</v>
      </c>
      <c r="D515" t="s">
        <v>11</v>
      </c>
      <c r="E515" t="s">
        <v>12</v>
      </c>
      <c r="F515" s="1">
        <v>71</v>
      </c>
      <c r="G515" s="1">
        <v>79</v>
      </c>
      <c r="H515" s="1">
        <v>89</v>
      </c>
      <c r="I515" s="1">
        <f t="shared" si="24"/>
        <v>79.666666666666671</v>
      </c>
      <c r="J515" t="str">
        <f t="shared" si="25"/>
        <v>Good</v>
      </c>
      <c r="K515" t="str">
        <f t="shared" si="26"/>
        <v>Pass</v>
      </c>
    </row>
    <row r="516" spans="1:11" x14ac:dyDescent="0.25">
      <c r="A516" t="s">
        <v>13</v>
      </c>
      <c r="B516" t="s">
        <v>23</v>
      </c>
      <c r="C516" t="s">
        <v>15</v>
      </c>
      <c r="D516" t="s">
        <v>11</v>
      </c>
      <c r="E516" t="s">
        <v>17</v>
      </c>
      <c r="F516" s="1">
        <v>75</v>
      </c>
      <c r="G516" s="1">
        <v>80</v>
      </c>
      <c r="H516" s="1">
        <v>72</v>
      </c>
      <c r="I516" s="1">
        <f t="shared" si="24"/>
        <v>75.666666666666671</v>
      </c>
      <c r="J516" t="str">
        <f t="shared" si="25"/>
        <v>Good</v>
      </c>
      <c r="K516" t="str">
        <f t="shared" si="26"/>
        <v>Pass</v>
      </c>
    </row>
    <row r="517" spans="1:11" x14ac:dyDescent="0.25">
      <c r="A517" t="s">
        <v>8</v>
      </c>
      <c r="B517" t="s">
        <v>23</v>
      </c>
      <c r="C517" t="s">
        <v>22</v>
      </c>
      <c r="D517" t="s">
        <v>16</v>
      </c>
      <c r="E517" t="s">
        <v>17</v>
      </c>
      <c r="F517" s="1">
        <v>70</v>
      </c>
      <c r="G517" s="1">
        <v>60</v>
      </c>
      <c r="H517" s="1">
        <v>56</v>
      </c>
      <c r="I517" s="1">
        <f t="shared" si="24"/>
        <v>62</v>
      </c>
      <c r="J517" t="str">
        <f t="shared" si="25"/>
        <v>Good</v>
      </c>
      <c r="K517" t="str">
        <f t="shared" si="26"/>
        <v>Pass</v>
      </c>
    </row>
    <row r="518" spans="1:11" x14ac:dyDescent="0.25">
      <c r="A518" t="s">
        <v>8</v>
      </c>
      <c r="B518" t="s">
        <v>20</v>
      </c>
      <c r="C518" t="s">
        <v>21</v>
      </c>
      <c r="D518" t="s">
        <v>11</v>
      </c>
      <c r="E518" t="s">
        <v>17</v>
      </c>
      <c r="F518" s="1">
        <v>54</v>
      </c>
      <c r="G518" s="1">
        <v>52</v>
      </c>
      <c r="H518" s="1">
        <v>48</v>
      </c>
      <c r="I518" s="1">
        <f t="shared" si="24"/>
        <v>51.333333333333336</v>
      </c>
      <c r="J518" t="str">
        <f t="shared" si="25"/>
        <v>Average</v>
      </c>
      <c r="K518" t="str">
        <f t="shared" si="26"/>
        <v>Pass</v>
      </c>
    </row>
    <row r="519" spans="1:11" x14ac:dyDescent="0.25">
      <c r="A519" t="s">
        <v>8</v>
      </c>
      <c r="B519" t="s">
        <v>20</v>
      </c>
      <c r="C519" t="s">
        <v>10</v>
      </c>
      <c r="D519" t="s">
        <v>11</v>
      </c>
      <c r="E519" t="s">
        <v>17</v>
      </c>
      <c r="F519" s="1">
        <v>49</v>
      </c>
      <c r="G519" s="1">
        <v>36</v>
      </c>
      <c r="H519" s="1">
        <v>32</v>
      </c>
      <c r="I519" s="1">
        <f t="shared" si="24"/>
        <v>39</v>
      </c>
      <c r="J519" t="str">
        <f t="shared" si="25"/>
        <v>Poor</v>
      </c>
      <c r="K519" t="str">
        <f t="shared" si="26"/>
        <v>Fail</v>
      </c>
    </row>
    <row r="520" spans="1:11" x14ac:dyDescent="0.25">
      <c r="A520" t="s">
        <v>8</v>
      </c>
      <c r="B520" t="s">
        <v>20</v>
      </c>
      <c r="C520" t="s">
        <v>21</v>
      </c>
      <c r="D520" t="s">
        <v>16</v>
      </c>
      <c r="E520" t="s">
        <v>12</v>
      </c>
      <c r="F520" s="1">
        <v>80</v>
      </c>
      <c r="G520" s="1">
        <v>82</v>
      </c>
      <c r="H520" s="1">
        <v>82</v>
      </c>
      <c r="I520" s="1">
        <f t="shared" si="24"/>
        <v>81.333333333333329</v>
      </c>
      <c r="J520" t="str">
        <f t="shared" si="25"/>
        <v>Excellent</v>
      </c>
      <c r="K520" t="str">
        <f t="shared" si="26"/>
        <v>Pass</v>
      </c>
    </row>
    <row r="521" spans="1:11" x14ac:dyDescent="0.25">
      <c r="A521" t="s">
        <v>13</v>
      </c>
      <c r="B521" t="s">
        <v>18</v>
      </c>
      <c r="C521" t="s">
        <v>22</v>
      </c>
      <c r="D521" t="s">
        <v>11</v>
      </c>
      <c r="E521" t="s">
        <v>17</v>
      </c>
      <c r="F521" s="1">
        <v>78</v>
      </c>
      <c r="G521" s="1">
        <v>89</v>
      </c>
      <c r="H521" s="1">
        <v>93</v>
      </c>
      <c r="I521" s="1">
        <f t="shared" si="24"/>
        <v>86.666666666666671</v>
      </c>
      <c r="J521" t="str">
        <f t="shared" si="25"/>
        <v>Excellent</v>
      </c>
      <c r="K521" t="str">
        <f t="shared" si="26"/>
        <v>Pass</v>
      </c>
    </row>
    <row r="522" spans="1:11" x14ac:dyDescent="0.25">
      <c r="A522" t="s">
        <v>8</v>
      </c>
      <c r="B522" t="s">
        <v>23</v>
      </c>
      <c r="C522" t="s">
        <v>22</v>
      </c>
      <c r="D522" t="s">
        <v>11</v>
      </c>
      <c r="E522" t="s">
        <v>17</v>
      </c>
      <c r="F522" s="1">
        <v>89</v>
      </c>
      <c r="G522" s="1">
        <v>77</v>
      </c>
      <c r="H522" s="1">
        <v>82</v>
      </c>
      <c r="I522" s="1">
        <f t="shared" si="24"/>
        <v>82.666666666666671</v>
      </c>
      <c r="J522" t="str">
        <f t="shared" si="25"/>
        <v>Excellent</v>
      </c>
      <c r="K522" t="str">
        <f t="shared" si="26"/>
        <v>Pass</v>
      </c>
    </row>
    <row r="523" spans="1:11" x14ac:dyDescent="0.25">
      <c r="A523" t="s">
        <v>13</v>
      </c>
      <c r="B523" t="s">
        <v>23</v>
      </c>
      <c r="C523" t="s">
        <v>22</v>
      </c>
      <c r="D523" t="s">
        <v>11</v>
      </c>
      <c r="E523" t="s">
        <v>12</v>
      </c>
      <c r="F523" s="1">
        <v>65</v>
      </c>
      <c r="G523" s="1">
        <v>83</v>
      </c>
      <c r="H523" s="1">
        <v>82</v>
      </c>
      <c r="I523" s="1">
        <f t="shared" si="24"/>
        <v>76.666666666666671</v>
      </c>
      <c r="J523" t="str">
        <f t="shared" si="25"/>
        <v>Good</v>
      </c>
      <c r="K523" t="str">
        <f t="shared" si="26"/>
        <v>Pass</v>
      </c>
    </row>
    <row r="524" spans="1:11" x14ac:dyDescent="0.25">
      <c r="A524" t="s">
        <v>8</v>
      </c>
      <c r="B524" t="s">
        <v>14</v>
      </c>
      <c r="C524" t="s">
        <v>21</v>
      </c>
      <c r="D524" t="s">
        <v>11</v>
      </c>
      <c r="E524" t="s">
        <v>17</v>
      </c>
      <c r="F524" s="1">
        <v>78</v>
      </c>
      <c r="G524" s="1">
        <v>74</v>
      </c>
      <c r="H524" s="1">
        <v>71</v>
      </c>
      <c r="I524" s="1">
        <f t="shared" si="24"/>
        <v>74.333333333333329</v>
      </c>
      <c r="J524" t="str">
        <f t="shared" si="25"/>
        <v>Good</v>
      </c>
      <c r="K524" t="str">
        <f t="shared" si="26"/>
        <v>Pass</v>
      </c>
    </row>
    <row r="525" spans="1:11" x14ac:dyDescent="0.25">
      <c r="A525" t="s">
        <v>13</v>
      </c>
      <c r="B525" t="s">
        <v>14</v>
      </c>
      <c r="C525" t="s">
        <v>10</v>
      </c>
      <c r="D525" t="s">
        <v>11</v>
      </c>
      <c r="E525" t="s">
        <v>17</v>
      </c>
      <c r="F525" s="1">
        <v>69</v>
      </c>
      <c r="G525" s="1">
        <v>85</v>
      </c>
      <c r="H525" s="1">
        <v>78</v>
      </c>
      <c r="I525" s="1">
        <f t="shared" si="24"/>
        <v>77.333333333333329</v>
      </c>
      <c r="J525" t="str">
        <f t="shared" si="25"/>
        <v>Good</v>
      </c>
      <c r="K525" t="str">
        <f t="shared" si="26"/>
        <v>Pass</v>
      </c>
    </row>
    <row r="526" spans="1:11" x14ac:dyDescent="0.25">
      <c r="A526" t="s">
        <v>8</v>
      </c>
      <c r="B526" t="s">
        <v>14</v>
      </c>
      <c r="C526" t="s">
        <v>19</v>
      </c>
      <c r="D526" t="s">
        <v>16</v>
      </c>
      <c r="E526" t="s">
        <v>17</v>
      </c>
      <c r="F526" s="1">
        <v>49</v>
      </c>
      <c r="G526" s="1">
        <v>47</v>
      </c>
      <c r="H526" s="1">
        <v>48</v>
      </c>
      <c r="I526" s="1">
        <f t="shared" si="24"/>
        <v>48</v>
      </c>
      <c r="J526" t="str">
        <f t="shared" si="25"/>
        <v>Average</v>
      </c>
      <c r="K526" t="str">
        <f t="shared" si="26"/>
        <v>Pass</v>
      </c>
    </row>
    <row r="527" spans="1:11" x14ac:dyDescent="0.25">
      <c r="A527" t="s">
        <v>13</v>
      </c>
      <c r="B527" t="s">
        <v>14</v>
      </c>
      <c r="C527" t="s">
        <v>24</v>
      </c>
      <c r="D527" t="s">
        <v>16</v>
      </c>
      <c r="E527" t="s">
        <v>17</v>
      </c>
      <c r="F527" s="1">
        <v>50</v>
      </c>
      <c r="G527" s="1">
        <v>64</v>
      </c>
      <c r="H527" s="1">
        <v>66</v>
      </c>
      <c r="I527" s="1">
        <f t="shared" si="24"/>
        <v>60</v>
      </c>
      <c r="J527" t="str">
        <f t="shared" si="25"/>
        <v>Good</v>
      </c>
      <c r="K527" t="str">
        <f t="shared" si="26"/>
        <v>Pass</v>
      </c>
    </row>
    <row r="528" spans="1:11" x14ac:dyDescent="0.25">
      <c r="A528" t="s">
        <v>13</v>
      </c>
      <c r="B528" t="s">
        <v>18</v>
      </c>
      <c r="C528" t="s">
        <v>19</v>
      </c>
      <c r="D528" t="s">
        <v>11</v>
      </c>
      <c r="E528" t="s">
        <v>17</v>
      </c>
      <c r="F528" s="1">
        <v>79</v>
      </c>
      <c r="G528" s="1">
        <v>76</v>
      </c>
      <c r="H528" s="1">
        <v>71</v>
      </c>
      <c r="I528" s="1">
        <f t="shared" si="24"/>
        <v>75.333333333333329</v>
      </c>
      <c r="J528" t="str">
        <f t="shared" si="25"/>
        <v>Good</v>
      </c>
      <c r="K528" t="str">
        <f t="shared" si="26"/>
        <v>Pass</v>
      </c>
    </row>
    <row r="529" spans="1:11" x14ac:dyDescent="0.25">
      <c r="A529" t="s">
        <v>13</v>
      </c>
      <c r="B529" t="s">
        <v>14</v>
      </c>
      <c r="C529" t="s">
        <v>19</v>
      </c>
      <c r="D529" t="s">
        <v>11</v>
      </c>
      <c r="E529" t="s">
        <v>12</v>
      </c>
      <c r="F529" s="1">
        <v>89</v>
      </c>
      <c r="G529" s="1">
        <v>92</v>
      </c>
      <c r="H529" s="1">
        <v>97</v>
      </c>
      <c r="I529" s="1">
        <f t="shared" si="24"/>
        <v>92.666666666666671</v>
      </c>
      <c r="J529" t="str">
        <f t="shared" si="25"/>
        <v>Excellent</v>
      </c>
      <c r="K529" t="str">
        <f t="shared" si="26"/>
        <v>Pass</v>
      </c>
    </row>
    <row r="530" spans="1:11" x14ac:dyDescent="0.25">
      <c r="A530" t="s">
        <v>8</v>
      </c>
      <c r="B530" t="s">
        <v>9</v>
      </c>
      <c r="C530" t="s">
        <v>21</v>
      </c>
      <c r="D530" t="s">
        <v>16</v>
      </c>
      <c r="E530" t="s">
        <v>12</v>
      </c>
      <c r="F530" s="1">
        <v>48</v>
      </c>
      <c r="G530" s="1">
        <v>61</v>
      </c>
      <c r="H530" s="1">
        <v>59</v>
      </c>
      <c r="I530" s="1">
        <f t="shared" si="24"/>
        <v>56</v>
      </c>
      <c r="J530" t="str">
        <f t="shared" si="25"/>
        <v>Average</v>
      </c>
      <c r="K530" t="str">
        <f t="shared" si="26"/>
        <v>Pass</v>
      </c>
    </row>
    <row r="531" spans="1:11" x14ac:dyDescent="0.25">
      <c r="A531" t="s">
        <v>13</v>
      </c>
      <c r="B531" t="s">
        <v>9</v>
      </c>
      <c r="C531" t="s">
        <v>22</v>
      </c>
      <c r="D531" t="s">
        <v>11</v>
      </c>
      <c r="E531" t="s">
        <v>17</v>
      </c>
      <c r="F531" s="1">
        <v>63</v>
      </c>
      <c r="G531" s="1">
        <v>67</v>
      </c>
      <c r="H531" s="1">
        <v>71</v>
      </c>
      <c r="I531" s="1">
        <f t="shared" si="24"/>
        <v>67</v>
      </c>
      <c r="J531" t="str">
        <f t="shared" si="25"/>
        <v>Good</v>
      </c>
      <c r="K531" t="str">
        <f t="shared" si="26"/>
        <v>Pass</v>
      </c>
    </row>
    <row r="532" spans="1:11" x14ac:dyDescent="0.25">
      <c r="A532" t="s">
        <v>13</v>
      </c>
      <c r="B532" t="s">
        <v>23</v>
      </c>
      <c r="C532" t="s">
        <v>19</v>
      </c>
      <c r="D532" t="s">
        <v>11</v>
      </c>
      <c r="E532" t="s">
        <v>17</v>
      </c>
      <c r="F532" s="1">
        <v>88</v>
      </c>
      <c r="G532" s="1">
        <v>100</v>
      </c>
      <c r="H532" s="1">
        <v>88</v>
      </c>
      <c r="I532" s="1">
        <f t="shared" si="24"/>
        <v>92</v>
      </c>
      <c r="J532" t="str">
        <f t="shared" si="25"/>
        <v>Excellent</v>
      </c>
      <c r="K532" t="str">
        <f t="shared" si="26"/>
        <v>Pass</v>
      </c>
    </row>
    <row r="533" spans="1:11" x14ac:dyDescent="0.25">
      <c r="A533" t="s">
        <v>13</v>
      </c>
      <c r="B533" t="s">
        <v>14</v>
      </c>
      <c r="C533" t="s">
        <v>21</v>
      </c>
      <c r="D533" t="s">
        <v>11</v>
      </c>
      <c r="E533" t="s">
        <v>17</v>
      </c>
      <c r="F533" s="1">
        <v>66</v>
      </c>
      <c r="G533" s="1">
        <v>73</v>
      </c>
      <c r="H533" s="1">
        <v>73</v>
      </c>
      <c r="I533" s="1">
        <f t="shared" si="24"/>
        <v>70.666666666666671</v>
      </c>
      <c r="J533" t="str">
        <f t="shared" si="25"/>
        <v>Good</v>
      </c>
      <c r="K533" t="str">
        <f t="shared" si="26"/>
        <v>Pass</v>
      </c>
    </row>
    <row r="534" spans="1:11" x14ac:dyDescent="0.25">
      <c r="A534" t="s">
        <v>13</v>
      </c>
      <c r="B534" t="s">
        <v>20</v>
      </c>
      <c r="C534" t="s">
        <v>19</v>
      </c>
      <c r="D534" t="s">
        <v>16</v>
      </c>
      <c r="E534" t="s">
        <v>17</v>
      </c>
      <c r="F534" s="1">
        <v>45</v>
      </c>
      <c r="G534" s="1">
        <v>59</v>
      </c>
      <c r="H534" s="1">
        <v>56</v>
      </c>
      <c r="I534" s="1">
        <f t="shared" si="24"/>
        <v>53.333333333333336</v>
      </c>
      <c r="J534" t="str">
        <f t="shared" si="25"/>
        <v>Average</v>
      </c>
      <c r="K534" t="str">
        <f t="shared" si="26"/>
        <v>Pass</v>
      </c>
    </row>
    <row r="535" spans="1:11" x14ac:dyDescent="0.25">
      <c r="A535" t="s">
        <v>13</v>
      </c>
      <c r="B535" t="s">
        <v>18</v>
      </c>
      <c r="C535" t="s">
        <v>15</v>
      </c>
      <c r="D535" t="s">
        <v>11</v>
      </c>
      <c r="E535" t="s">
        <v>12</v>
      </c>
      <c r="F535" s="1">
        <v>62</v>
      </c>
      <c r="G535" s="1">
        <v>78</v>
      </c>
      <c r="H535" s="1">
        <v>73</v>
      </c>
      <c r="I535" s="1">
        <f t="shared" si="24"/>
        <v>71</v>
      </c>
      <c r="J535" t="str">
        <f t="shared" si="25"/>
        <v>Good</v>
      </c>
      <c r="K535" t="str">
        <f t="shared" si="26"/>
        <v>Pass</v>
      </c>
    </row>
    <row r="536" spans="1:11" x14ac:dyDescent="0.25">
      <c r="A536" t="s">
        <v>8</v>
      </c>
      <c r="B536" t="s">
        <v>14</v>
      </c>
      <c r="C536" t="s">
        <v>19</v>
      </c>
      <c r="D536" t="s">
        <v>16</v>
      </c>
      <c r="E536" t="s">
        <v>12</v>
      </c>
      <c r="F536" s="1">
        <v>74</v>
      </c>
      <c r="G536" s="1">
        <v>80</v>
      </c>
      <c r="H536" s="1">
        <v>86</v>
      </c>
      <c r="I536" s="1">
        <f t="shared" si="24"/>
        <v>80</v>
      </c>
      <c r="J536" t="str">
        <f t="shared" si="25"/>
        <v>Excellent</v>
      </c>
      <c r="K536" t="str">
        <f t="shared" si="26"/>
        <v>Pass</v>
      </c>
    </row>
    <row r="537" spans="1:11" x14ac:dyDescent="0.25">
      <c r="A537" t="s">
        <v>13</v>
      </c>
      <c r="B537" t="s">
        <v>14</v>
      </c>
      <c r="C537" t="s">
        <v>22</v>
      </c>
      <c r="D537" t="s">
        <v>16</v>
      </c>
      <c r="E537" t="s">
        <v>17</v>
      </c>
      <c r="F537" s="1">
        <v>82</v>
      </c>
      <c r="G537" s="1">
        <v>87</v>
      </c>
      <c r="H537" s="1">
        <v>90</v>
      </c>
      <c r="I537" s="1">
        <f t="shared" si="24"/>
        <v>86.333333333333329</v>
      </c>
      <c r="J537" t="str">
        <f t="shared" si="25"/>
        <v>Excellent</v>
      </c>
      <c r="K537" t="str">
        <f t="shared" si="26"/>
        <v>Pass</v>
      </c>
    </row>
    <row r="538" spans="1:11" x14ac:dyDescent="0.25">
      <c r="A538" t="s">
        <v>8</v>
      </c>
      <c r="B538" t="s">
        <v>18</v>
      </c>
      <c r="C538" t="s">
        <v>19</v>
      </c>
      <c r="D538" t="s">
        <v>16</v>
      </c>
      <c r="E538" t="s">
        <v>12</v>
      </c>
      <c r="F538" s="1">
        <v>83</v>
      </c>
      <c r="G538" s="1">
        <v>63</v>
      </c>
      <c r="H538" s="1">
        <v>63</v>
      </c>
      <c r="I538" s="1">
        <f t="shared" si="24"/>
        <v>69.666666666666671</v>
      </c>
      <c r="J538" t="str">
        <f t="shared" si="25"/>
        <v>Good</v>
      </c>
      <c r="K538" t="str">
        <f t="shared" si="26"/>
        <v>Pass</v>
      </c>
    </row>
    <row r="539" spans="1:11" x14ac:dyDescent="0.25">
      <c r="A539" t="s">
        <v>13</v>
      </c>
      <c r="B539" t="s">
        <v>14</v>
      </c>
      <c r="C539" t="s">
        <v>15</v>
      </c>
      <c r="D539" t="s">
        <v>16</v>
      </c>
      <c r="E539" t="s">
        <v>12</v>
      </c>
      <c r="F539" s="1">
        <v>60</v>
      </c>
      <c r="G539" s="1">
        <v>72</v>
      </c>
      <c r="H539" s="1">
        <v>76</v>
      </c>
      <c r="I539" s="1">
        <f t="shared" si="24"/>
        <v>69.333333333333329</v>
      </c>
      <c r="J539" t="str">
        <f t="shared" si="25"/>
        <v>Good</v>
      </c>
      <c r="K539" t="str">
        <f t="shared" si="26"/>
        <v>Pass</v>
      </c>
    </row>
    <row r="540" spans="1:11" x14ac:dyDescent="0.25">
      <c r="A540" t="s">
        <v>13</v>
      </c>
      <c r="B540" t="s">
        <v>14</v>
      </c>
      <c r="C540" t="s">
        <v>10</v>
      </c>
      <c r="D540" t="s">
        <v>11</v>
      </c>
      <c r="E540" t="s">
        <v>17</v>
      </c>
      <c r="F540" s="1">
        <v>66</v>
      </c>
      <c r="G540" s="1">
        <v>73</v>
      </c>
      <c r="H540" s="1">
        <v>72</v>
      </c>
      <c r="I540" s="1">
        <f t="shared" si="24"/>
        <v>70.333333333333329</v>
      </c>
      <c r="J540" t="str">
        <f t="shared" si="25"/>
        <v>Good</v>
      </c>
      <c r="K540" t="str">
        <f t="shared" si="26"/>
        <v>Pass</v>
      </c>
    </row>
    <row r="541" spans="1:11" x14ac:dyDescent="0.25">
      <c r="A541" t="s">
        <v>8</v>
      </c>
      <c r="B541" t="s">
        <v>23</v>
      </c>
      <c r="C541" t="s">
        <v>22</v>
      </c>
      <c r="D541" t="s">
        <v>16</v>
      </c>
      <c r="E541" t="s">
        <v>17</v>
      </c>
      <c r="F541" s="1">
        <v>76</v>
      </c>
      <c r="G541" s="1">
        <v>66</v>
      </c>
      <c r="H541" s="1">
        <v>68</v>
      </c>
      <c r="I541" s="1">
        <f t="shared" si="24"/>
        <v>70</v>
      </c>
      <c r="J541" t="str">
        <f t="shared" si="25"/>
        <v>Good</v>
      </c>
      <c r="K541" t="str">
        <f t="shared" si="26"/>
        <v>Pass</v>
      </c>
    </row>
    <row r="542" spans="1:11" x14ac:dyDescent="0.25">
      <c r="A542" t="s">
        <v>8</v>
      </c>
      <c r="B542" t="s">
        <v>20</v>
      </c>
      <c r="C542" t="s">
        <v>21</v>
      </c>
      <c r="D542" t="s">
        <v>11</v>
      </c>
      <c r="E542" t="s">
        <v>12</v>
      </c>
      <c r="F542" s="1">
        <v>75</v>
      </c>
      <c r="G542" s="1">
        <v>74</v>
      </c>
      <c r="H542" s="1">
        <v>76</v>
      </c>
      <c r="I542" s="1">
        <f t="shared" si="24"/>
        <v>75</v>
      </c>
      <c r="J542" t="str">
        <f t="shared" si="25"/>
        <v>Good</v>
      </c>
      <c r="K542" t="str">
        <f t="shared" si="26"/>
        <v>Pass</v>
      </c>
    </row>
    <row r="543" spans="1:11" x14ac:dyDescent="0.25">
      <c r="A543" t="s">
        <v>8</v>
      </c>
      <c r="B543" t="s">
        <v>20</v>
      </c>
      <c r="C543" t="s">
        <v>19</v>
      </c>
      <c r="D543" t="s">
        <v>11</v>
      </c>
      <c r="E543" t="s">
        <v>12</v>
      </c>
      <c r="F543" s="1">
        <v>77</v>
      </c>
      <c r="G543" s="1">
        <v>72</v>
      </c>
      <c r="H543" s="1">
        <v>79</v>
      </c>
      <c r="I543" s="1">
        <f t="shared" si="24"/>
        <v>76</v>
      </c>
      <c r="J543" t="str">
        <f t="shared" si="25"/>
        <v>Good</v>
      </c>
      <c r="K543" t="str">
        <f t="shared" si="26"/>
        <v>Pass</v>
      </c>
    </row>
    <row r="544" spans="1:11" x14ac:dyDescent="0.25">
      <c r="A544" t="s">
        <v>13</v>
      </c>
      <c r="B544" t="s">
        <v>18</v>
      </c>
      <c r="C544" t="s">
        <v>19</v>
      </c>
      <c r="D544" t="s">
        <v>16</v>
      </c>
      <c r="E544" t="s">
        <v>17</v>
      </c>
      <c r="F544" s="1">
        <v>82</v>
      </c>
      <c r="G544" s="1">
        <v>88</v>
      </c>
      <c r="H544" s="1">
        <v>86</v>
      </c>
      <c r="I544" s="1">
        <f t="shared" si="24"/>
        <v>85.333333333333329</v>
      </c>
      <c r="J544" t="str">
        <f t="shared" si="25"/>
        <v>Excellent</v>
      </c>
      <c r="K544" t="str">
        <f t="shared" si="26"/>
        <v>Pass</v>
      </c>
    </row>
    <row r="545" spans="1:11" x14ac:dyDescent="0.25">
      <c r="A545" t="s">
        <v>8</v>
      </c>
      <c r="B545" t="s">
        <v>23</v>
      </c>
      <c r="C545" t="s">
        <v>21</v>
      </c>
      <c r="D545" t="s">
        <v>11</v>
      </c>
      <c r="E545" t="s">
        <v>12</v>
      </c>
      <c r="F545" s="1">
        <v>63</v>
      </c>
      <c r="G545" s="1">
        <v>59</v>
      </c>
      <c r="H545" s="1">
        <v>60</v>
      </c>
      <c r="I545" s="1">
        <f t="shared" si="24"/>
        <v>60.666666666666664</v>
      </c>
      <c r="J545" t="str">
        <f t="shared" si="25"/>
        <v>Good</v>
      </c>
      <c r="K545" t="str">
        <f t="shared" si="26"/>
        <v>Pass</v>
      </c>
    </row>
    <row r="546" spans="1:11" x14ac:dyDescent="0.25">
      <c r="A546" t="s">
        <v>13</v>
      </c>
      <c r="B546" t="s">
        <v>14</v>
      </c>
      <c r="C546" t="s">
        <v>10</v>
      </c>
      <c r="D546" t="s">
        <v>11</v>
      </c>
      <c r="E546" t="s">
        <v>17</v>
      </c>
      <c r="F546" s="1">
        <v>70</v>
      </c>
      <c r="G546" s="1">
        <v>85</v>
      </c>
      <c r="H546" s="1">
        <v>85</v>
      </c>
      <c r="I546" s="1">
        <f t="shared" si="24"/>
        <v>80</v>
      </c>
      <c r="J546" t="str">
        <f t="shared" si="25"/>
        <v>Excellent</v>
      </c>
      <c r="K546" t="str">
        <f t="shared" si="26"/>
        <v>Pass</v>
      </c>
    </row>
    <row r="547" spans="1:11" x14ac:dyDescent="0.25">
      <c r="A547" t="s">
        <v>8</v>
      </c>
      <c r="B547" t="s">
        <v>14</v>
      </c>
      <c r="C547" t="s">
        <v>21</v>
      </c>
      <c r="D547" t="s">
        <v>11</v>
      </c>
      <c r="E547" t="s">
        <v>12</v>
      </c>
      <c r="F547" s="1">
        <v>84</v>
      </c>
      <c r="G547" s="1">
        <v>71</v>
      </c>
      <c r="H547" s="1">
        <v>76</v>
      </c>
      <c r="I547" s="1">
        <f t="shared" si="24"/>
        <v>77</v>
      </c>
      <c r="J547" t="str">
        <f t="shared" si="25"/>
        <v>Good</v>
      </c>
      <c r="K547" t="str">
        <f t="shared" si="26"/>
        <v>Pass</v>
      </c>
    </row>
    <row r="548" spans="1:11" x14ac:dyDescent="0.25">
      <c r="A548" t="s">
        <v>8</v>
      </c>
      <c r="B548" t="s">
        <v>23</v>
      </c>
      <c r="C548" t="s">
        <v>10</v>
      </c>
      <c r="D548" t="s">
        <v>11</v>
      </c>
      <c r="E548" t="s">
        <v>12</v>
      </c>
      <c r="F548" s="1">
        <v>68</v>
      </c>
      <c r="G548" s="1">
        <v>60</v>
      </c>
      <c r="H548" s="1">
        <v>63</v>
      </c>
      <c r="I548" s="1">
        <f t="shared" si="24"/>
        <v>63.666666666666664</v>
      </c>
      <c r="J548" t="str">
        <f t="shared" si="25"/>
        <v>Good</v>
      </c>
      <c r="K548" t="str">
        <f t="shared" si="26"/>
        <v>Pass</v>
      </c>
    </row>
    <row r="549" spans="1:11" x14ac:dyDescent="0.25">
      <c r="A549" t="s">
        <v>8</v>
      </c>
      <c r="B549" t="s">
        <v>23</v>
      </c>
      <c r="C549" t="s">
        <v>19</v>
      </c>
      <c r="D549" t="s">
        <v>16</v>
      </c>
      <c r="E549" t="s">
        <v>17</v>
      </c>
      <c r="F549" s="1">
        <v>56</v>
      </c>
      <c r="G549" s="1">
        <v>58</v>
      </c>
      <c r="H549" s="1">
        <v>50</v>
      </c>
      <c r="I549" s="1">
        <f t="shared" si="24"/>
        <v>54.666666666666664</v>
      </c>
      <c r="J549" t="str">
        <f t="shared" si="25"/>
        <v>Average</v>
      </c>
      <c r="K549" t="str">
        <f t="shared" si="26"/>
        <v>Pass</v>
      </c>
    </row>
    <row r="550" spans="1:11" x14ac:dyDescent="0.25">
      <c r="A550" t="s">
        <v>13</v>
      </c>
      <c r="B550" t="s">
        <v>23</v>
      </c>
      <c r="C550" t="s">
        <v>21</v>
      </c>
      <c r="D550" t="s">
        <v>16</v>
      </c>
      <c r="E550" t="s">
        <v>17</v>
      </c>
      <c r="F550" s="1">
        <v>37</v>
      </c>
      <c r="G550" s="1">
        <v>46</v>
      </c>
      <c r="H550" s="1">
        <v>43</v>
      </c>
      <c r="I550" s="1">
        <f t="shared" si="24"/>
        <v>42</v>
      </c>
      <c r="J550" t="str">
        <f t="shared" si="25"/>
        <v>Average</v>
      </c>
      <c r="K550" t="str">
        <f t="shared" si="26"/>
        <v>Pass</v>
      </c>
    </row>
    <row r="551" spans="1:11" x14ac:dyDescent="0.25">
      <c r="A551" t="s">
        <v>13</v>
      </c>
      <c r="B551" t="s">
        <v>14</v>
      </c>
      <c r="C551" t="s">
        <v>15</v>
      </c>
      <c r="D551" t="s">
        <v>11</v>
      </c>
      <c r="E551" t="s">
        <v>17</v>
      </c>
      <c r="F551" s="1">
        <v>49</v>
      </c>
      <c r="G551" s="1">
        <v>56</v>
      </c>
      <c r="H551" s="1">
        <v>53</v>
      </c>
      <c r="I551" s="1">
        <f t="shared" si="24"/>
        <v>52.666666666666664</v>
      </c>
      <c r="J551" t="str">
        <f t="shared" si="25"/>
        <v>Average</v>
      </c>
      <c r="K551" t="str">
        <f t="shared" si="26"/>
        <v>Pass</v>
      </c>
    </row>
    <row r="552" spans="1:11" x14ac:dyDescent="0.25">
      <c r="A552" t="s">
        <v>13</v>
      </c>
      <c r="B552" t="s">
        <v>18</v>
      </c>
      <c r="C552" t="s">
        <v>19</v>
      </c>
      <c r="D552" t="s">
        <v>11</v>
      </c>
      <c r="E552" t="s">
        <v>12</v>
      </c>
      <c r="F552" s="1">
        <v>100</v>
      </c>
      <c r="G552" s="1">
        <v>100</v>
      </c>
      <c r="H552" s="1">
        <v>100</v>
      </c>
      <c r="I552" s="1">
        <f t="shared" si="24"/>
        <v>100</v>
      </c>
      <c r="J552" t="str">
        <f t="shared" si="25"/>
        <v>Excellent</v>
      </c>
      <c r="K552" t="str">
        <f t="shared" si="26"/>
        <v>Pass</v>
      </c>
    </row>
    <row r="553" spans="1:11" x14ac:dyDescent="0.25">
      <c r="A553" t="s">
        <v>8</v>
      </c>
      <c r="B553" t="s">
        <v>14</v>
      </c>
      <c r="C553" t="s">
        <v>19</v>
      </c>
      <c r="D553" t="s">
        <v>11</v>
      </c>
      <c r="E553" t="s">
        <v>17</v>
      </c>
      <c r="F553" s="1">
        <v>83</v>
      </c>
      <c r="G553" s="1">
        <v>68</v>
      </c>
      <c r="H553" s="1">
        <v>65</v>
      </c>
      <c r="I553" s="1">
        <f t="shared" si="24"/>
        <v>72</v>
      </c>
      <c r="J553" t="str">
        <f t="shared" si="25"/>
        <v>Good</v>
      </c>
      <c r="K553" t="str">
        <f t="shared" si="26"/>
        <v>Pass</v>
      </c>
    </row>
    <row r="554" spans="1:11" x14ac:dyDescent="0.25">
      <c r="A554" t="s">
        <v>13</v>
      </c>
      <c r="B554" t="s">
        <v>18</v>
      </c>
      <c r="C554" t="s">
        <v>24</v>
      </c>
      <c r="D554" t="s">
        <v>16</v>
      </c>
      <c r="E554" t="s">
        <v>12</v>
      </c>
      <c r="F554" s="1">
        <v>92</v>
      </c>
      <c r="G554" s="1">
        <v>100</v>
      </c>
      <c r="H554" s="1">
        <v>98</v>
      </c>
      <c r="I554" s="1">
        <f t="shared" si="24"/>
        <v>96.666666666666671</v>
      </c>
      <c r="J554" t="str">
        <f t="shared" si="25"/>
        <v>Excellent</v>
      </c>
      <c r="K554" t="str">
        <f t="shared" si="26"/>
        <v>Pass</v>
      </c>
    </row>
    <row r="555" spans="1:11" x14ac:dyDescent="0.25">
      <c r="A555" t="s">
        <v>8</v>
      </c>
      <c r="B555" t="s">
        <v>18</v>
      </c>
      <c r="C555" t="s">
        <v>24</v>
      </c>
      <c r="D555" t="s">
        <v>16</v>
      </c>
      <c r="E555" t="s">
        <v>17</v>
      </c>
      <c r="F555" s="1">
        <v>71</v>
      </c>
      <c r="G555" s="1">
        <v>62</v>
      </c>
      <c r="H555" s="1">
        <v>66</v>
      </c>
      <c r="I555" s="1">
        <f t="shared" si="24"/>
        <v>66.333333333333329</v>
      </c>
      <c r="J555" t="str">
        <f t="shared" si="25"/>
        <v>Good</v>
      </c>
      <c r="K555" t="str">
        <f t="shared" si="26"/>
        <v>Pass</v>
      </c>
    </row>
    <row r="556" spans="1:11" x14ac:dyDescent="0.25">
      <c r="A556" t="s">
        <v>8</v>
      </c>
      <c r="B556" t="s">
        <v>14</v>
      </c>
      <c r="C556" t="s">
        <v>21</v>
      </c>
      <c r="D556" t="s">
        <v>16</v>
      </c>
      <c r="E556" t="s">
        <v>12</v>
      </c>
      <c r="F556" s="1">
        <v>72</v>
      </c>
      <c r="G556" s="1">
        <v>76</v>
      </c>
      <c r="H556" s="1">
        <v>73</v>
      </c>
      <c r="I556" s="1">
        <f t="shared" si="24"/>
        <v>73.666666666666671</v>
      </c>
      <c r="J556" t="str">
        <f t="shared" si="25"/>
        <v>Good</v>
      </c>
      <c r="K556" t="str">
        <f t="shared" si="26"/>
        <v>Pass</v>
      </c>
    </row>
    <row r="557" spans="1:11" x14ac:dyDescent="0.25">
      <c r="A557" t="s">
        <v>13</v>
      </c>
      <c r="B557" t="s">
        <v>14</v>
      </c>
      <c r="C557" t="s">
        <v>22</v>
      </c>
      <c r="D557" t="s">
        <v>16</v>
      </c>
      <c r="E557" t="s">
        <v>17</v>
      </c>
      <c r="F557" s="1">
        <v>37</v>
      </c>
      <c r="G557" s="1">
        <v>53</v>
      </c>
      <c r="H557" s="1">
        <v>48</v>
      </c>
      <c r="I557" s="1">
        <f t="shared" si="24"/>
        <v>46</v>
      </c>
      <c r="J557" t="str">
        <f t="shared" si="25"/>
        <v>Average</v>
      </c>
      <c r="K557" t="str">
        <f t="shared" si="26"/>
        <v>Pass</v>
      </c>
    </row>
    <row r="558" spans="1:11" x14ac:dyDescent="0.25">
      <c r="A558" t="s">
        <v>8</v>
      </c>
      <c r="B558" t="s">
        <v>23</v>
      </c>
      <c r="C558" t="s">
        <v>22</v>
      </c>
      <c r="D558" t="s">
        <v>16</v>
      </c>
      <c r="E558" t="s">
        <v>17</v>
      </c>
      <c r="F558" s="1">
        <v>35</v>
      </c>
      <c r="G558" s="1">
        <v>43</v>
      </c>
      <c r="H558" s="1">
        <v>35</v>
      </c>
      <c r="I558" s="1">
        <f t="shared" si="24"/>
        <v>37.666666666666664</v>
      </c>
      <c r="J558" t="str">
        <f t="shared" si="25"/>
        <v>Poor</v>
      </c>
      <c r="K558" t="str">
        <f t="shared" si="26"/>
        <v>Fail</v>
      </c>
    </row>
    <row r="559" spans="1:11" x14ac:dyDescent="0.25">
      <c r="A559" t="s">
        <v>8</v>
      </c>
      <c r="B559" t="s">
        <v>23</v>
      </c>
      <c r="C559" t="s">
        <v>19</v>
      </c>
      <c r="D559" t="s">
        <v>16</v>
      </c>
      <c r="E559" t="s">
        <v>17</v>
      </c>
      <c r="F559" s="1">
        <v>69</v>
      </c>
      <c r="G559" s="1">
        <v>68</v>
      </c>
      <c r="H559" s="1">
        <v>62</v>
      </c>
      <c r="I559" s="1">
        <f t="shared" si="24"/>
        <v>66.333333333333329</v>
      </c>
      <c r="J559" t="str">
        <f t="shared" si="25"/>
        <v>Good</v>
      </c>
      <c r="K559" t="str">
        <f t="shared" si="26"/>
        <v>Pass</v>
      </c>
    </row>
    <row r="560" spans="1:11" x14ac:dyDescent="0.25">
      <c r="A560" t="s">
        <v>13</v>
      </c>
      <c r="B560" t="s">
        <v>23</v>
      </c>
      <c r="C560" t="s">
        <v>22</v>
      </c>
      <c r="D560" t="s">
        <v>11</v>
      </c>
      <c r="E560" t="s">
        <v>17</v>
      </c>
      <c r="F560" s="1">
        <v>65</v>
      </c>
      <c r="G560" s="1">
        <v>73</v>
      </c>
      <c r="H560" s="1">
        <v>81</v>
      </c>
      <c r="I560" s="1">
        <f t="shared" si="24"/>
        <v>73</v>
      </c>
      <c r="J560" t="str">
        <f t="shared" si="25"/>
        <v>Good</v>
      </c>
      <c r="K560" t="str">
        <f t="shared" si="26"/>
        <v>Pass</v>
      </c>
    </row>
    <row r="561" spans="1:11" x14ac:dyDescent="0.25">
      <c r="A561" t="s">
        <v>8</v>
      </c>
      <c r="B561" t="s">
        <v>18</v>
      </c>
      <c r="C561" t="s">
        <v>10</v>
      </c>
      <c r="D561" t="s">
        <v>16</v>
      </c>
      <c r="E561" t="s">
        <v>17</v>
      </c>
      <c r="F561" s="1">
        <v>56</v>
      </c>
      <c r="G561" s="1">
        <v>48</v>
      </c>
      <c r="H561" s="1">
        <v>36</v>
      </c>
      <c r="I561" s="1">
        <f t="shared" si="24"/>
        <v>46.666666666666664</v>
      </c>
      <c r="J561" t="str">
        <f t="shared" si="25"/>
        <v>Average</v>
      </c>
      <c r="K561" t="str">
        <f t="shared" si="26"/>
        <v>Pass</v>
      </c>
    </row>
    <row r="562" spans="1:11" x14ac:dyDescent="0.25">
      <c r="A562" t="s">
        <v>13</v>
      </c>
      <c r="B562" t="s">
        <v>14</v>
      </c>
      <c r="C562" t="s">
        <v>10</v>
      </c>
      <c r="D562" t="s">
        <v>11</v>
      </c>
      <c r="E562" t="s">
        <v>17</v>
      </c>
      <c r="F562" s="1">
        <v>40</v>
      </c>
      <c r="G562" s="1">
        <v>46</v>
      </c>
      <c r="H562" s="1">
        <v>57</v>
      </c>
      <c r="I562" s="1">
        <f t="shared" si="24"/>
        <v>47.666666666666664</v>
      </c>
      <c r="J562" t="str">
        <f t="shared" si="25"/>
        <v>Average</v>
      </c>
      <c r="K562" t="str">
        <f t="shared" si="26"/>
        <v>Pass</v>
      </c>
    </row>
    <row r="563" spans="1:11" x14ac:dyDescent="0.25">
      <c r="A563" t="s">
        <v>13</v>
      </c>
      <c r="B563" t="s">
        <v>18</v>
      </c>
      <c r="C563" t="s">
        <v>10</v>
      </c>
      <c r="D563" t="s">
        <v>11</v>
      </c>
      <c r="E563" t="s">
        <v>17</v>
      </c>
      <c r="F563" s="1">
        <v>60</v>
      </c>
      <c r="G563" s="1">
        <v>62</v>
      </c>
      <c r="H563" s="1">
        <v>60</v>
      </c>
      <c r="I563" s="1">
        <f t="shared" si="24"/>
        <v>60.666666666666664</v>
      </c>
      <c r="J563" t="str">
        <f t="shared" si="25"/>
        <v>Good</v>
      </c>
      <c r="K563" t="str">
        <f t="shared" si="26"/>
        <v>Pass</v>
      </c>
    </row>
    <row r="564" spans="1:11" x14ac:dyDescent="0.25">
      <c r="A564" t="s">
        <v>13</v>
      </c>
      <c r="B564" t="s">
        <v>23</v>
      </c>
      <c r="C564" t="s">
        <v>15</v>
      </c>
      <c r="D564" t="s">
        <v>11</v>
      </c>
      <c r="E564" t="s">
        <v>17</v>
      </c>
      <c r="F564" s="1">
        <v>57</v>
      </c>
      <c r="G564" s="1">
        <v>66</v>
      </c>
      <c r="H564" s="1">
        <v>73</v>
      </c>
      <c r="I564" s="1">
        <f t="shared" si="24"/>
        <v>65.333333333333329</v>
      </c>
      <c r="J564" t="str">
        <f t="shared" si="25"/>
        <v>Good</v>
      </c>
      <c r="K564" t="str">
        <f t="shared" si="26"/>
        <v>Pass</v>
      </c>
    </row>
    <row r="565" spans="1:11" x14ac:dyDescent="0.25">
      <c r="A565" t="s">
        <v>13</v>
      </c>
      <c r="B565" t="s">
        <v>23</v>
      </c>
      <c r="C565" t="s">
        <v>15</v>
      </c>
      <c r="D565" t="s">
        <v>16</v>
      </c>
      <c r="E565" t="s">
        <v>12</v>
      </c>
      <c r="F565" s="1">
        <v>58</v>
      </c>
      <c r="G565" s="1">
        <v>62</v>
      </c>
      <c r="H565" s="1">
        <v>66</v>
      </c>
      <c r="I565" s="1">
        <f t="shared" si="24"/>
        <v>62</v>
      </c>
      <c r="J565" t="str">
        <f t="shared" si="25"/>
        <v>Good</v>
      </c>
      <c r="K565" t="str">
        <f t="shared" si="26"/>
        <v>Pass</v>
      </c>
    </row>
    <row r="566" spans="1:11" x14ac:dyDescent="0.25">
      <c r="A566" t="s">
        <v>13</v>
      </c>
      <c r="B566" t="s">
        <v>14</v>
      </c>
      <c r="C566" t="s">
        <v>19</v>
      </c>
      <c r="D566" t="s">
        <v>11</v>
      </c>
      <c r="E566" t="s">
        <v>12</v>
      </c>
      <c r="F566" s="1">
        <v>74</v>
      </c>
      <c r="G566" s="1">
        <v>95</v>
      </c>
      <c r="H566" s="1">
        <v>94</v>
      </c>
      <c r="I566" s="1">
        <f t="shared" si="24"/>
        <v>87.666666666666671</v>
      </c>
      <c r="J566" t="str">
        <f t="shared" si="25"/>
        <v>Excellent</v>
      </c>
      <c r="K566" t="str">
        <f t="shared" si="26"/>
        <v>Pass</v>
      </c>
    </row>
    <row r="567" spans="1:11" x14ac:dyDescent="0.25">
      <c r="A567" t="s">
        <v>13</v>
      </c>
      <c r="B567" t="s">
        <v>20</v>
      </c>
      <c r="C567" t="s">
        <v>19</v>
      </c>
      <c r="D567" t="s">
        <v>11</v>
      </c>
      <c r="E567" t="s">
        <v>17</v>
      </c>
      <c r="F567" s="1">
        <v>77</v>
      </c>
      <c r="G567" s="1">
        <v>77</v>
      </c>
      <c r="H567" s="1">
        <v>83</v>
      </c>
      <c r="I567" s="1">
        <f t="shared" si="24"/>
        <v>79</v>
      </c>
      <c r="J567" t="str">
        <f t="shared" si="25"/>
        <v>Good</v>
      </c>
      <c r="K567" t="str">
        <f t="shared" si="26"/>
        <v>Pass</v>
      </c>
    </row>
    <row r="568" spans="1:11" x14ac:dyDescent="0.25">
      <c r="A568" t="s">
        <v>8</v>
      </c>
      <c r="B568" t="s">
        <v>18</v>
      </c>
      <c r="C568" t="s">
        <v>19</v>
      </c>
      <c r="D568" t="s">
        <v>16</v>
      </c>
      <c r="E568" t="s">
        <v>17</v>
      </c>
      <c r="F568" s="1">
        <v>66</v>
      </c>
      <c r="G568" s="1">
        <v>57</v>
      </c>
      <c r="H568" s="1">
        <v>53</v>
      </c>
      <c r="I568" s="1">
        <f t="shared" si="24"/>
        <v>58.666666666666664</v>
      </c>
      <c r="J568" t="str">
        <f t="shared" si="25"/>
        <v>Average</v>
      </c>
      <c r="K568" t="str">
        <f t="shared" si="26"/>
        <v>Pass</v>
      </c>
    </row>
    <row r="569" spans="1:11" x14ac:dyDescent="0.25">
      <c r="A569" t="s">
        <v>13</v>
      </c>
      <c r="B569" t="s">
        <v>14</v>
      </c>
      <c r="C569" t="s">
        <v>19</v>
      </c>
      <c r="D569" t="s">
        <v>11</v>
      </c>
      <c r="E569" t="s">
        <v>12</v>
      </c>
      <c r="F569" s="1">
        <v>62</v>
      </c>
      <c r="G569" s="1">
        <v>79</v>
      </c>
      <c r="H569" s="1">
        <v>87</v>
      </c>
      <c r="I569" s="1">
        <f t="shared" si="24"/>
        <v>76</v>
      </c>
      <c r="J569" t="str">
        <f t="shared" si="25"/>
        <v>Good</v>
      </c>
      <c r="K569" t="str">
        <f t="shared" si="26"/>
        <v>Pass</v>
      </c>
    </row>
    <row r="570" spans="1:11" x14ac:dyDescent="0.25">
      <c r="A570" t="s">
        <v>8</v>
      </c>
      <c r="B570" t="s">
        <v>23</v>
      </c>
      <c r="C570" t="s">
        <v>10</v>
      </c>
      <c r="D570" t="s">
        <v>16</v>
      </c>
      <c r="E570" t="s">
        <v>17</v>
      </c>
      <c r="F570" s="1">
        <v>29</v>
      </c>
      <c r="G570" s="1">
        <v>38</v>
      </c>
      <c r="H570" s="1">
        <v>27</v>
      </c>
      <c r="I570" s="1">
        <f t="shared" si="24"/>
        <v>31.333333333333332</v>
      </c>
      <c r="J570" t="str">
        <f t="shared" si="25"/>
        <v>Poor</v>
      </c>
      <c r="K570" t="str">
        <f t="shared" si="26"/>
        <v>Fail</v>
      </c>
    </row>
    <row r="571" spans="1:11" x14ac:dyDescent="0.25">
      <c r="A571" t="s">
        <v>13</v>
      </c>
      <c r="B571" t="s">
        <v>20</v>
      </c>
      <c r="C571" t="s">
        <v>19</v>
      </c>
      <c r="D571" t="s">
        <v>11</v>
      </c>
      <c r="E571" t="s">
        <v>17</v>
      </c>
      <c r="F571" s="1">
        <v>70</v>
      </c>
      <c r="G571" s="1">
        <v>73</v>
      </c>
      <c r="H571" s="1">
        <v>66</v>
      </c>
      <c r="I571" s="1">
        <f t="shared" si="24"/>
        <v>69.666666666666671</v>
      </c>
      <c r="J571" t="str">
        <f t="shared" si="25"/>
        <v>Good</v>
      </c>
      <c r="K571" t="str">
        <f t="shared" si="26"/>
        <v>Pass</v>
      </c>
    </row>
    <row r="572" spans="1:11" x14ac:dyDescent="0.25">
      <c r="A572" t="s">
        <v>8</v>
      </c>
      <c r="B572" t="s">
        <v>9</v>
      </c>
      <c r="C572" t="s">
        <v>21</v>
      </c>
      <c r="D572" t="s">
        <v>16</v>
      </c>
      <c r="E572" t="s">
        <v>17</v>
      </c>
      <c r="F572" s="1">
        <v>67</v>
      </c>
      <c r="G572" s="1">
        <v>64</v>
      </c>
      <c r="H572" s="1">
        <v>60</v>
      </c>
      <c r="I572" s="1">
        <f t="shared" si="24"/>
        <v>63.666666666666664</v>
      </c>
      <c r="J572" t="str">
        <f t="shared" si="25"/>
        <v>Good</v>
      </c>
      <c r="K572" t="str">
        <f t="shared" si="26"/>
        <v>Pass</v>
      </c>
    </row>
    <row r="573" spans="1:11" x14ac:dyDescent="0.25">
      <c r="A573" t="s">
        <v>13</v>
      </c>
      <c r="B573" t="s">
        <v>23</v>
      </c>
      <c r="C573" t="s">
        <v>10</v>
      </c>
      <c r="D573" t="s">
        <v>11</v>
      </c>
      <c r="E573" t="s">
        <v>12</v>
      </c>
      <c r="F573" s="1">
        <v>81</v>
      </c>
      <c r="G573" s="1">
        <v>91</v>
      </c>
      <c r="H573" s="1">
        <v>94</v>
      </c>
      <c r="I573" s="1">
        <f t="shared" si="24"/>
        <v>88.666666666666671</v>
      </c>
      <c r="J573" t="str">
        <f t="shared" si="25"/>
        <v>Excellent</v>
      </c>
      <c r="K573" t="str">
        <f t="shared" si="26"/>
        <v>Pass</v>
      </c>
    </row>
    <row r="574" spans="1:11" x14ac:dyDescent="0.25">
      <c r="A574" t="s">
        <v>8</v>
      </c>
      <c r="B574" t="s">
        <v>23</v>
      </c>
      <c r="C574" t="s">
        <v>21</v>
      </c>
      <c r="D574" t="s">
        <v>16</v>
      </c>
      <c r="E574" t="s">
        <v>17</v>
      </c>
      <c r="F574" s="1">
        <v>56</v>
      </c>
      <c r="G574" s="1">
        <v>50</v>
      </c>
      <c r="H574" s="1">
        <v>43</v>
      </c>
      <c r="I574" s="1">
        <f t="shared" si="24"/>
        <v>49.666666666666664</v>
      </c>
      <c r="J574" t="str">
        <f t="shared" si="25"/>
        <v>Average</v>
      </c>
      <c r="K574" t="str">
        <f t="shared" si="26"/>
        <v>Pass</v>
      </c>
    </row>
    <row r="575" spans="1:11" x14ac:dyDescent="0.25">
      <c r="A575" t="s">
        <v>13</v>
      </c>
      <c r="B575" t="s">
        <v>14</v>
      </c>
      <c r="C575" t="s">
        <v>19</v>
      </c>
      <c r="D575" t="s">
        <v>16</v>
      </c>
      <c r="E575" t="s">
        <v>17</v>
      </c>
      <c r="F575" s="1">
        <v>61</v>
      </c>
      <c r="G575" s="1">
        <v>79</v>
      </c>
      <c r="H575" s="1">
        <v>76</v>
      </c>
      <c r="I575" s="1">
        <f t="shared" si="24"/>
        <v>72</v>
      </c>
      <c r="J575" t="str">
        <f t="shared" si="25"/>
        <v>Good</v>
      </c>
      <c r="K575" t="str">
        <f t="shared" si="26"/>
        <v>Pass</v>
      </c>
    </row>
    <row r="576" spans="1:11" x14ac:dyDescent="0.25">
      <c r="A576" t="s">
        <v>13</v>
      </c>
      <c r="B576" t="s">
        <v>14</v>
      </c>
      <c r="C576" t="s">
        <v>10</v>
      </c>
      <c r="D576" t="s">
        <v>16</v>
      </c>
      <c r="E576" t="s">
        <v>12</v>
      </c>
      <c r="F576" s="1">
        <v>47</v>
      </c>
      <c r="G576" s="1">
        <v>54</v>
      </c>
      <c r="H576" s="1">
        <v>56</v>
      </c>
      <c r="I576" s="1">
        <f t="shared" si="24"/>
        <v>52.333333333333336</v>
      </c>
      <c r="J576" t="str">
        <f t="shared" si="25"/>
        <v>Average</v>
      </c>
      <c r="K576" t="str">
        <f t="shared" si="26"/>
        <v>Pass</v>
      </c>
    </row>
    <row r="577" spans="1:11" x14ac:dyDescent="0.25">
      <c r="A577" t="s">
        <v>8</v>
      </c>
      <c r="B577" t="s">
        <v>9</v>
      </c>
      <c r="C577" t="s">
        <v>22</v>
      </c>
      <c r="D577" t="s">
        <v>11</v>
      </c>
      <c r="E577" t="s">
        <v>12</v>
      </c>
      <c r="F577" s="1">
        <v>88</v>
      </c>
      <c r="G577" s="1">
        <v>87</v>
      </c>
      <c r="H577" s="1">
        <v>94</v>
      </c>
      <c r="I577" s="1">
        <f t="shared" si="24"/>
        <v>89.666666666666671</v>
      </c>
      <c r="J577" t="str">
        <f t="shared" si="25"/>
        <v>Excellent</v>
      </c>
      <c r="K577" t="str">
        <f t="shared" si="26"/>
        <v>Pass</v>
      </c>
    </row>
    <row r="578" spans="1:11" x14ac:dyDescent="0.25">
      <c r="A578" t="s">
        <v>8</v>
      </c>
      <c r="B578" t="s">
        <v>23</v>
      </c>
      <c r="C578" t="s">
        <v>19</v>
      </c>
      <c r="D578" t="s">
        <v>11</v>
      </c>
      <c r="E578" t="s">
        <v>12</v>
      </c>
      <c r="F578" s="1">
        <v>51</v>
      </c>
      <c r="G578" s="1">
        <v>52</v>
      </c>
      <c r="H578" s="1">
        <v>52</v>
      </c>
      <c r="I578" s="1">
        <f t="shared" ref="I578:I641" si="27">AVERAGE(F578:H578)</f>
        <v>51.666666666666664</v>
      </c>
      <c r="J578" t="str">
        <f t="shared" ref="J578:J641" si="28">IF(I578&gt;=80,"Excellent", IF(I578&gt;=60,"Good", IF(I578&gt;=40,"Average","Poor")))</f>
        <v>Average</v>
      </c>
      <c r="K578" t="str">
        <f t="shared" ref="K578:K641" si="29">IF(I578&gt;=40, "Pass","Fail")</f>
        <v>Pass</v>
      </c>
    </row>
    <row r="579" spans="1:11" x14ac:dyDescent="0.25">
      <c r="A579" t="s">
        <v>8</v>
      </c>
      <c r="B579" t="s">
        <v>23</v>
      </c>
      <c r="C579" t="s">
        <v>24</v>
      </c>
      <c r="D579" t="s">
        <v>11</v>
      </c>
      <c r="E579" t="s">
        <v>17</v>
      </c>
      <c r="F579" s="1">
        <v>68</v>
      </c>
      <c r="G579" s="1">
        <v>60</v>
      </c>
      <c r="H579" s="1">
        <v>62</v>
      </c>
      <c r="I579" s="1">
        <f t="shared" si="27"/>
        <v>63.333333333333336</v>
      </c>
      <c r="J579" t="str">
        <f t="shared" si="28"/>
        <v>Good</v>
      </c>
      <c r="K579" t="str">
        <f t="shared" si="29"/>
        <v>Pass</v>
      </c>
    </row>
    <row r="580" spans="1:11" x14ac:dyDescent="0.25">
      <c r="A580" t="s">
        <v>13</v>
      </c>
      <c r="B580" t="s">
        <v>20</v>
      </c>
      <c r="C580" t="s">
        <v>21</v>
      </c>
      <c r="D580" t="s">
        <v>11</v>
      </c>
      <c r="E580" t="s">
        <v>17</v>
      </c>
      <c r="F580" s="1">
        <v>68</v>
      </c>
      <c r="G580" s="1">
        <v>71</v>
      </c>
      <c r="H580" s="1">
        <v>71</v>
      </c>
      <c r="I580" s="1">
        <f t="shared" si="27"/>
        <v>70</v>
      </c>
      <c r="J580" t="str">
        <f t="shared" si="28"/>
        <v>Good</v>
      </c>
      <c r="K580" t="str">
        <f t="shared" si="29"/>
        <v>Pass</v>
      </c>
    </row>
    <row r="581" spans="1:11" x14ac:dyDescent="0.25">
      <c r="A581" t="s">
        <v>13</v>
      </c>
      <c r="B581" t="s">
        <v>20</v>
      </c>
      <c r="C581" t="s">
        <v>10</v>
      </c>
      <c r="D581" t="s">
        <v>16</v>
      </c>
      <c r="E581" t="s">
        <v>17</v>
      </c>
      <c r="F581" s="1">
        <v>47</v>
      </c>
      <c r="G581" s="1">
        <v>49</v>
      </c>
      <c r="H581" s="1">
        <v>50</v>
      </c>
      <c r="I581" s="1">
        <f t="shared" si="27"/>
        <v>48.666666666666664</v>
      </c>
      <c r="J581" t="str">
        <f t="shared" si="28"/>
        <v>Average</v>
      </c>
      <c r="K581" t="str">
        <f t="shared" si="29"/>
        <v>Pass</v>
      </c>
    </row>
    <row r="582" spans="1:11" x14ac:dyDescent="0.25">
      <c r="A582" t="s">
        <v>8</v>
      </c>
      <c r="B582" t="s">
        <v>18</v>
      </c>
      <c r="C582" t="s">
        <v>24</v>
      </c>
      <c r="D582" t="s">
        <v>16</v>
      </c>
      <c r="E582" t="s">
        <v>12</v>
      </c>
      <c r="F582" s="1">
        <v>84</v>
      </c>
      <c r="G582" s="1">
        <v>77</v>
      </c>
      <c r="H582" s="1">
        <v>82</v>
      </c>
      <c r="I582" s="1">
        <f t="shared" si="27"/>
        <v>81</v>
      </c>
      <c r="J582" t="str">
        <f t="shared" si="28"/>
        <v>Excellent</v>
      </c>
      <c r="K582" t="str">
        <f t="shared" si="29"/>
        <v>Pass</v>
      </c>
    </row>
    <row r="583" spans="1:11" x14ac:dyDescent="0.25">
      <c r="A583" t="s">
        <v>8</v>
      </c>
      <c r="B583" t="s">
        <v>20</v>
      </c>
      <c r="C583" t="s">
        <v>19</v>
      </c>
      <c r="D583" t="s">
        <v>16</v>
      </c>
      <c r="E583" t="s">
        <v>17</v>
      </c>
      <c r="F583" s="1">
        <v>69</v>
      </c>
      <c r="G583" s="1">
        <v>72</v>
      </c>
      <c r="H583" s="1">
        <v>68</v>
      </c>
      <c r="I583" s="1">
        <f t="shared" si="27"/>
        <v>69.666666666666671</v>
      </c>
      <c r="J583" t="str">
        <f t="shared" si="28"/>
        <v>Good</v>
      </c>
      <c r="K583" t="str">
        <f t="shared" si="29"/>
        <v>Pass</v>
      </c>
    </row>
    <row r="584" spans="1:11" x14ac:dyDescent="0.25">
      <c r="A584" t="s">
        <v>13</v>
      </c>
      <c r="B584" t="s">
        <v>14</v>
      </c>
      <c r="C584" t="s">
        <v>22</v>
      </c>
      <c r="D584" t="s">
        <v>11</v>
      </c>
      <c r="E584" t="s">
        <v>12</v>
      </c>
      <c r="F584" s="1">
        <v>52</v>
      </c>
      <c r="G584" s="1">
        <v>69</v>
      </c>
      <c r="H584" s="1">
        <v>75</v>
      </c>
      <c r="I584" s="1">
        <f t="shared" si="27"/>
        <v>65.333333333333329</v>
      </c>
      <c r="J584" t="str">
        <f t="shared" si="28"/>
        <v>Good</v>
      </c>
      <c r="K584" t="str">
        <f t="shared" si="29"/>
        <v>Pass</v>
      </c>
    </row>
    <row r="585" spans="1:11" x14ac:dyDescent="0.25">
      <c r="A585" t="s">
        <v>8</v>
      </c>
      <c r="B585" t="s">
        <v>20</v>
      </c>
      <c r="C585" t="s">
        <v>21</v>
      </c>
      <c r="D585" t="s">
        <v>11</v>
      </c>
      <c r="E585" t="s">
        <v>17</v>
      </c>
      <c r="F585" s="1">
        <v>80</v>
      </c>
      <c r="G585" s="1">
        <v>79</v>
      </c>
      <c r="H585" s="1">
        <v>79</v>
      </c>
      <c r="I585" s="1">
        <f t="shared" si="27"/>
        <v>79.333333333333329</v>
      </c>
      <c r="J585" t="str">
        <f t="shared" si="28"/>
        <v>Good</v>
      </c>
      <c r="K585" t="str">
        <f t="shared" si="29"/>
        <v>Pass</v>
      </c>
    </row>
    <row r="586" spans="1:11" x14ac:dyDescent="0.25">
      <c r="A586" t="s">
        <v>8</v>
      </c>
      <c r="B586" t="s">
        <v>23</v>
      </c>
      <c r="C586" t="s">
        <v>22</v>
      </c>
      <c r="D586" t="s">
        <v>11</v>
      </c>
      <c r="E586" t="s">
        <v>17</v>
      </c>
      <c r="F586" s="1">
        <v>100</v>
      </c>
      <c r="G586" s="1">
        <v>84</v>
      </c>
      <c r="H586" s="1">
        <v>88</v>
      </c>
      <c r="I586" s="1">
        <f t="shared" si="27"/>
        <v>90.666666666666671</v>
      </c>
      <c r="J586" t="str">
        <f t="shared" si="28"/>
        <v>Excellent</v>
      </c>
      <c r="K586" t="str">
        <f t="shared" si="29"/>
        <v>Pass</v>
      </c>
    </row>
    <row r="587" spans="1:11" x14ac:dyDescent="0.25">
      <c r="A587" t="s">
        <v>8</v>
      </c>
      <c r="B587" t="s">
        <v>23</v>
      </c>
      <c r="C587" t="s">
        <v>10</v>
      </c>
      <c r="D587" t="s">
        <v>11</v>
      </c>
      <c r="E587" t="s">
        <v>12</v>
      </c>
      <c r="F587" s="1">
        <v>53</v>
      </c>
      <c r="G587" s="1">
        <v>59</v>
      </c>
      <c r="H587" s="1">
        <v>64</v>
      </c>
      <c r="I587" s="1">
        <f t="shared" si="27"/>
        <v>58.666666666666664</v>
      </c>
      <c r="J587" t="str">
        <f t="shared" si="28"/>
        <v>Average</v>
      </c>
      <c r="K587" t="str">
        <f t="shared" si="29"/>
        <v>Pass</v>
      </c>
    </row>
    <row r="588" spans="1:11" x14ac:dyDescent="0.25">
      <c r="A588" t="s">
        <v>13</v>
      </c>
      <c r="B588" t="s">
        <v>20</v>
      </c>
      <c r="C588" t="s">
        <v>24</v>
      </c>
      <c r="D588" t="s">
        <v>11</v>
      </c>
      <c r="E588" t="s">
        <v>12</v>
      </c>
      <c r="F588" s="1">
        <v>59</v>
      </c>
      <c r="G588" s="1">
        <v>73</v>
      </c>
      <c r="H588" s="1">
        <v>74</v>
      </c>
      <c r="I588" s="1">
        <f t="shared" si="27"/>
        <v>68.666666666666671</v>
      </c>
      <c r="J588" t="str">
        <f t="shared" si="28"/>
        <v>Good</v>
      </c>
      <c r="K588" t="str">
        <f t="shared" si="29"/>
        <v>Pass</v>
      </c>
    </row>
    <row r="589" spans="1:11" x14ac:dyDescent="0.25">
      <c r="A589" t="s">
        <v>13</v>
      </c>
      <c r="B589" t="s">
        <v>20</v>
      </c>
      <c r="C589" t="s">
        <v>19</v>
      </c>
      <c r="D589" t="s">
        <v>11</v>
      </c>
      <c r="E589" t="s">
        <v>17</v>
      </c>
      <c r="F589" s="1">
        <v>78</v>
      </c>
      <c r="G589" s="1">
        <v>96</v>
      </c>
      <c r="H589" s="1">
        <v>89</v>
      </c>
      <c r="I589" s="1">
        <f t="shared" si="27"/>
        <v>87.666666666666671</v>
      </c>
      <c r="J589" t="str">
        <f t="shared" si="28"/>
        <v>Excellent</v>
      </c>
      <c r="K589" t="str">
        <f t="shared" si="29"/>
        <v>Pass</v>
      </c>
    </row>
    <row r="590" spans="1:11" x14ac:dyDescent="0.25">
      <c r="A590" t="s">
        <v>13</v>
      </c>
      <c r="B590" t="s">
        <v>20</v>
      </c>
      <c r="C590" t="s">
        <v>21</v>
      </c>
      <c r="D590" t="s">
        <v>11</v>
      </c>
      <c r="E590" t="s">
        <v>17</v>
      </c>
      <c r="F590" s="1">
        <v>84</v>
      </c>
      <c r="G590" s="1">
        <v>87</v>
      </c>
      <c r="H590" s="1">
        <v>89</v>
      </c>
      <c r="I590" s="1">
        <f t="shared" si="27"/>
        <v>86.666666666666671</v>
      </c>
      <c r="J590" t="str">
        <f t="shared" si="28"/>
        <v>Excellent</v>
      </c>
      <c r="K590" t="str">
        <f t="shared" si="29"/>
        <v>Pass</v>
      </c>
    </row>
    <row r="591" spans="1:11" x14ac:dyDescent="0.25">
      <c r="A591" t="s">
        <v>13</v>
      </c>
      <c r="B591" t="s">
        <v>23</v>
      </c>
      <c r="C591" t="s">
        <v>10</v>
      </c>
      <c r="D591" t="s">
        <v>16</v>
      </c>
      <c r="E591" t="s">
        <v>17</v>
      </c>
      <c r="F591" s="1">
        <v>52</v>
      </c>
      <c r="G591" s="1">
        <v>72</v>
      </c>
      <c r="H591" s="1">
        <v>71</v>
      </c>
      <c r="I591" s="1">
        <f t="shared" si="27"/>
        <v>65</v>
      </c>
      <c r="J591" t="str">
        <f t="shared" si="28"/>
        <v>Good</v>
      </c>
      <c r="K591" t="str">
        <f t="shared" si="29"/>
        <v>Pass</v>
      </c>
    </row>
    <row r="592" spans="1:11" x14ac:dyDescent="0.25">
      <c r="A592" t="s">
        <v>8</v>
      </c>
      <c r="B592" t="s">
        <v>23</v>
      </c>
      <c r="C592" t="s">
        <v>21</v>
      </c>
      <c r="D592" t="s">
        <v>16</v>
      </c>
      <c r="E592" t="s">
        <v>17</v>
      </c>
      <c r="F592" s="1">
        <v>81</v>
      </c>
      <c r="G592" s="1">
        <v>78</v>
      </c>
      <c r="H592" s="1">
        <v>75</v>
      </c>
      <c r="I592" s="1">
        <f t="shared" si="27"/>
        <v>78</v>
      </c>
      <c r="J592" t="str">
        <f t="shared" si="28"/>
        <v>Good</v>
      </c>
      <c r="K592" t="str">
        <f t="shared" si="29"/>
        <v>Pass</v>
      </c>
    </row>
    <row r="593" spans="1:11" x14ac:dyDescent="0.25">
      <c r="A593" t="s">
        <v>13</v>
      </c>
      <c r="B593" t="s">
        <v>23</v>
      </c>
      <c r="C593" t="s">
        <v>21</v>
      </c>
      <c r="D593" t="s">
        <v>11</v>
      </c>
      <c r="E593" t="s">
        <v>12</v>
      </c>
      <c r="F593" s="1">
        <v>90</v>
      </c>
      <c r="G593" s="1">
        <v>95</v>
      </c>
      <c r="H593" s="1">
        <v>100</v>
      </c>
      <c r="I593" s="1">
        <f t="shared" si="27"/>
        <v>95</v>
      </c>
      <c r="J593" t="str">
        <f t="shared" si="28"/>
        <v>Excellent</v>
      </c>
      <c r="K593" t="str">
        <f t="shared" si="29"/>
        <v>Pass</v>
      </c>
    </row>
    <row r="594" spans="1:11" x14ac:dyDescent="0.25">
      <c r="A594" t="s">
        <v>13</v>
      </c>
      <c r="B594" t="s">
        <v>9</v>
      </c>
      <c r="C594" t="s">
        <v>10</v>
      </c>
      <c r="D594" t="s">
        <v>11</v>
      </c>
      <c r="E594" t="s">
        <v>17</v>
      </c>
      <c r="F594" s="1">
        <v>63</v>
      </c>
      <c r="G594" s="1">
        <v>73</v>
      </c>
      <c r="H594" s="1">
        <v>66</v>
      </c>
      <c r="I594" s="1">
        <f t="shared" si="27"/>
        <v>67.333333333333329</v>
      </c>
      <c r="J594" t="str">
        <f t="shared" si="28"/>
        <v>Good</v>
      </c>
      <c r="K594" t="str">
        <f t="shared" si="29"/>
        <v>Pass</v>
      </c>
    </row>
    <row r="595" spans="1:11" x14ac:dyDescent="0.25">
      <c r="A595" t="s">
        <v>8</v>
      </c>
      <c r="B595" t="s">
        <v>14</v>
      </c>
      <c r="C595" t="s">
        <v>22</v>
      </c>
      <c r="D595" t="s">
        <v>11</v>
      </c>
      <c r="E595" t="s">
        <v>12</v>
      </c>
      <c r="F595" s="1">
        <v>100</v>
      </c>
      <c r="G595" s="1">
        <v>97</v>
      </c>
      <c r="H595" s="1">
        <v>100</v>
      </c>
      <c r="I595" s="1">
        <f t="shared" si="27"/>
        <v>99</v>
      </c>
      <c r="J595" t="str">
        <f t="shared" si="28"/>
        <v>Excellent</v>
      </c>
      <c r="K595" t="str">
        <f t="shared" si="29"/>
        <v>Pass</v>
      </c>
    </row>
    <row r="596" spans="1:11" x14ac:dyDescent="0.25">
      <c r="A596" t="s">
        <v>13</v>
      </c>
      <c r="B596" t="s">
        <v>20</v>
      </c>
      <c r="C596" t="s">
        <v>19</v>
      </c>
      <c r="D596" t="s">
        <v>11</v>
      </c>
      <c r="E596" t="s">
        <v>17</v>
      </c>
      <c r="F596" s="1">
        <v>56</v>
      </c>
      <c r="G596" s="1">
        <v>63</v>
      </c>
      <c r="H596" s="1">
        <v>62</v>
      </c>
      <c r="I596" s="1">
        <f t="shared" si="27"/>
        <v>60.333333333333336</v>
      </c>
      <c r="J596" t="str">
        <f t="shared" si="28"/>
        <v>Good</v>
      </c>
      <c r="K596" t="str">
        <f t="shared" si="29"/>
        <v>Pass</v>
      </c>
    </row>
    <row r="597" spans="1:11" x14ac:dyDescent="0.25">
      <c r="A597" t="s">
        <v>13</v>
      </c>
      <c r="B597" t="s">
        <v>20</v>
      </c>
      <c r="C597" t="s">
        <v>19</v>
      </c>
      <c r="D597" t="s">
        <v>11</v>
      </c>
      <c r="E597" t="s">
        <v>17</v>
      </c>
      <c r="F597" s="1">
        <v>46</v>
      </c>
      <c r="G597" s="1">
        <v>54</v>
      </c>
      <c r="H597" s="1">
        <v>54</v>
      </c>
      <c r="I597" s="1">
        <f t="shared" si="27"/>
        <v>51.333333333333336</v>
      </c>
      <c r="J597" t="str">
        <f t="shared" si="28"/>
        <v>Average</v>
      </c>
      <c r="K597" t="str">
        <f t="shared" si="29"/>
        <v>Pass</v>
      </c>
    </row>
    <row r="598" spans="1:11" x14ac:dyDescent="0.25">
      <c r="A598" t="s">
        <v>13</v>
      </c>
      <c r="B598" t="s">
        <v>20</v>
      </c>
      <c r="C598" t="s">
        <v>10</v>
      </c>
      <c r="D598" t="s">
        <v>16</v>
      </c>
      <c r="E598" t="s">
        <v>12</v>
      </c>
      <c r="F598" s="1">
        <v>75</v>
      </c>
      <c r="G598" s="1">
        <v>85</v>
      </c>
      <c r="H598" s="1">
        <v>90</v>
      </c>
      <c r="I598" s="1">
        <f t="shared" si="27"/>
        <v>83.333333333333329</v>
      </c>
      <c r="J598" t="str">
        <f t="shared" si="28"/>
        <v>Excellent</v>
      </c>
      <c r="K598" t="str">
        <f t="shared" si="29"/>
        <v>Pass</v>
      </c>
    </row>
    <row r="599" spans="1:11" x14ac:dyDescent="0.25">
      <c r="A599" t="s">
        <v>13</v>
      </c>
      <c r="B599" t="s">
        <v>9</v>
      </c>
      <c r="C599" t="s">
        <v>19</v>
      </c>
      <c r="D599" t="s">
        <v>11</v>
      </c>
      <c r="E599" t="s">
        <v>17</v>
      </c>
      <c r="F599" s="1">
        <v>46</v>
      </c>
      <c r="G599" s="1">
        <v>51</v>
      </c>
      <c r="H599" s="1">
        <v>54</v>
      </c>
      <c r="I599" s="1">
        <f t="shared" si="27"/>
        <v>50.333333333333336</v>
      </c>
      <c r="J599" t="str">
        <f t="shared" si="28"/>
        <v>Average</v>
      </c>
      <c r="K599" t="str">
        <f t="shared" si="29"/>
        <v>Pass</v>
      </c>
    </row>
    <row r="600" spans="1:11" x14ac:dyDescent="0.25">
      <c r="A600" t="s">
        <v>8</v>
      </c>
      <c r="B600" t="s">
        <v>9</v>
      </c>
      <c r="C600" t="s">
        <v>15</v>
      </c>
      <c r="D600" t="s">
        <v>16</v>
      </c>
      <c r="E600" t="s">
        <v>17</v>
      </c>
      <c r="F600" s="1">
        <v>42</v>
      </c>
      <c r="G600" s="1">
        <v>40</v>
      </c>
      <c r="H600" s="1">
        <v>40</v>
      </c>
      <c r="I600" s="1">
        <f t="shared" si="27"/>
        <v>40.666666666666664</v>
      </c>
      <c r="J600" t="str">
        <f t="shared" si="28"/>
        <v>Average</v>
      </c>
      <c r="K600" t="str">
        <f t="shared" si="29"/>
        <v>Pass</v>
      </c>
    </row>
    <row r="601" spans="1:11" x14ac:dyDescent="0.25">
      <c r="A601" t="s">
        <v>13</v>
      </c>
      <c r="B601" t="s">
        <v>23</v>
      </c>
      <c r="C601" t="s">
        <v>15</v>
      </c>
      <c r="D601" t="s">
        <v>11</v>
      </c>
      <c r="E601" t="s">
        <v>12</v>
      </c>
      <c r="F601" s="1">
        <v>77</v>
      </c>
      <c r="G601" s="1">
        <v>86</v>
      </c>
      <c r="H601" s="1">
        <v>90</v>
      </c>
      <c r="I601" s="1">
        <f t="shared" si="27"/>
        <v>84.333333333333329</v>
      </c>
      <c r="J601" t="str">
        <f t="shared" si="28"/>
        <v>Excellent</v>
      </c>
      <c r="K601" t="str">
        <f t="shared" si="29"/>
        <v>Pass</v>
      </c>
    </row>
    <row r="602" spans="1:11" x14ac:dyDescent="0.25">
      <c r="A602" t="s">
        <v>13</v>
      </c>
      <c r="B602" t="s">
        <v>23</v>
      </c>
      <c r="C602" t="s">
        <v>19</v>
      </c>
      <c r="D602" t="s">
        <v>16</v>
      </c>
      <c r="E602" t="s">
        <v>17</v>
      </c>
      <c r="F602" s="1">
        <v>40</v>
      </c>
      <c r="G602" s="1">
        <v>63</v>
      </c>
      <c r="H602" s="1">
        <v>56</v>
      </c>
      <c r="I602" s="1">
        <f t="shared" si="27"/>
        <v>53</v>
      </c>
      <c r="J602" t="str">
        <f t="shared" si="28"/>
        <v>Average</v>
      </c>
      <c r="K602" t="str">
        <f t="shared" si="29"/>
        <v>Pass</v>
      </c>
    </row>
    <row r="603" spans="1:11" x14ac:dyDescent="0.25">
      <c r="A603" t="s">
        <v>13</v>
      </c>
      <c r="B603" t="s">
        <v>14</v>
      </c>
      <c r="C603" t="s">
        <v>10</v>
      </c>
      <c r="D603" t="s">
        <v>11</v>
      </c>
      <c r="E603" t="s">
        <v>17</v>
      </c>
      <c r="F603" s="1">
        <v>69</v>
      </c>
      <c r="G603" s="1">
        <v>71</v>
      </c>
      <c r="H603" s="1">
        <v>76</v>
      </c>
      <c r="I603" s="1">
        <f t="shared" si="27"/>
        <v>72</v>
      </c>
      <c r="J603" t="str">
        <f t="shared" si="28"/>
        <v>Good</v>
      </c>
      <c r="K603" t="str">
        <f t="shared" si="29"/>
        <v>Pass</v>
      </c>
    </row>
    <row r="604" spans="1:11" x14ac:dyDescent="0.25">
      <c r="A604" t="s">
        <v>8</v>
      </c>
      <c r="B604" t="s">
        <v>23</v>
      </c>
      <c r="C604" t="s">
        <v>10</v>
      </c>
      <c r="D604" t="s">
        <v>11</v>
      </c>
      <c r="E604" t="s">
        <v>17</v>
      </c>
      <c r="F604" s="1">
        <v>43</v>
      </c>
      <c r="G604" s="1">
        <v>50</v>
      </c>
      <c r="H604" s="1">
        <v>45</v>
      </c>
      <c r="I604" s="1">
        <f t="shared" si="27"/>
        <v>46</v>
      </c>
      <c r="J604" t="str">
        <f t="shared" si="28"/>
        <v>Average</v>
      </c>
      <c r="K604" t="str">
        <f t="shared" si="29"/>
        <v>Pass</v>
      </c>
    </row>
    <row r="605" spans="1:11" x14ac:dyDescent="0.25">
      <c r="A605" t="s">
        <v>13</v>
      </c>
      <c r="B605" t="s">
        <v>23</v>
      </c>
      <c r="C605" t="s">
        <v>21</v>
      </c>
      <c r="D605" t="s">
        <v>11</v>
      </c>
      <c r="E605" t="s">
        <v>12</v>
      </c>
      <c r="F605" s="1">
        <v>69</v>
      </c>
      <c r="G605" s="1">
        <v>75</v>
      </c>
      <c r="H605" s="1">
        <v>71</v>
      </c>
      <c r="I605" s="1">
        <f t="shared" si="27"/>
        <v>71.666666666666671</v>
      </c>
      <c r="J605" t="str">
        <f t="shared" si="28"/>
        <v>Good</v>
      </c>
      <c r="K605" t="str">
        <f t="shared" si="29"/>
        <v>Pass</v>
      </c>
    </row>
    <row r="606" spans="1:11" x14ac:dyDescent="0.25">
      <c r="A606" t="s">
        <v>13</v>
      </c>
      <c r="B606" t="s">
        <v>14</v>
      </c>
      <c r="C606" t="s">
        <v>22</v>
      </c>
      <c r="D606" t="s">
        <v>11</v>
      </c>
      <c r="E606" t="s">
        <v>12</v>
      </c>
      <c r="F606" s="1">
        <v>89</v>
      </c>
      <c r="G606" s="1">
        <v>93</v>
      </c>
      <c r="H606" s="1">
        <v>100</v>
      </c>
      <c r="I606" s="1">
        <f t="shared" si="27"/>
        <v>94</v>
      </c>
      <c r="J606" t="str">
        <f t="shared" si="28"/>
        <v>Excellent</v>
      </c>
      <c r="K606" t="str">
        <f t="shared" si="29"/>
        <v>Pass</v>
      </c>
    </row>
    <row r="607" spans="1:11" x14ac:dyDescent="0.25">
      <c r="A607" t="s">
        <v>8</v>
      </c>
      <c r="B607" t="s">
        <v>20</v>
      </c>
      <c r="C607" t="s">
        <v>21</v>
      </c>
      <c r="D607" t="s">
        <v>11</v>
      </c>
      <c r="E607" t="s">
        <v>17</v>
      </c>
      <c r="F607" s="1">
        <v>44</v>
      </c>
      <c r="G607" s="1">
        <v>34</v>
      </c>
      <c r="H607" s="1">
        <v>36</v>
      </c>
      <c r="I607" s="1">
        <f t="shared" si="27"/>
        <v>38</v>
      </c>
      <c r="J607" t="str">
        <f t="shared" si="28"/>
        <v>Poor</v>
      </c>
      <c r="K607" t="str">
        <f t="shared" si="29"/>
        <v>Fail</v>
      </c>
    </row>
    <row r="608" spans="1:11" x14ac:dyDescent="0.25">
      <c r="A608" t="s">
        <v>8</v>
      </c>
      <c r="B608" t="s">
        <v>14</v>
      </c>
      <c r="C608" t="s">
        <v>10</v>
      </c>
      <c r="D608" t="s">
        <v>16</v>
      </c>
      <c r="E608" t="s">
        <v>12</v>
      </c>
      <c r="F608" s="1">
        <v>82</v>
      </c>
      <c r="G608" s="1">
        <v>83</v>
      </c>
      <c r="H608" s="1">
        <v>77</v>
      </c>
      <c r="I608" s="1">
        <f t="shared" si="27"/>
        <v>80.666666666666671</v>
      </c>
      <c r="J608" t="str">
        <f t="shared" si="28"/>
        <v>Excellent</v>
      </c>
      <c r="K608" t="str">
        <f t="shared" si="29"/>
        <v>Pass</v>
      </c>
    </row>
    <row r="609" spans="1:11" x14ac:dyDescent="0.25">
      <c r="A609" t="s">
        <v>8</v>
      </c>
      <c r="B609" t="s">
        <v>14</v>
      </c>
      <c r="C609" t="s">
        <v>21</v>
      </c>
      <c r="D609" t="s">
        <v>16</v>
      </c>
      <c r="E609" t="s">
        <v>17</v>
      </c>
      <c r="F609" s="1">
        <v>72</v>
      </c>
      <c r="G609" s="1">
        <v>72</v>
      </c>
      <c r="H609" s="1">
        <v>65</v>
      </c>
      <c r="I609" s="1">
        <f t="shared" si="27"/>
        <v>69.666666666666671</v>
      </c>
      <c r="J609" t="str">
        <f t="shared" si="28"/>
        <v>Good</v>
      </c>
      <c r="K609" t="str">
        <f t="shared" si="29"/>
        <v>Pass</v>
      </c>
    </row>
    <row r="610" spans="1:11" x14ac:dyDescent="0.25">
      <c r="A610" t="s">
        <v>8</v>
      </c>
      <c r="B610" t="s">
        <v>23</v>
      </c>
      <c r="C610" t="s">
        <v>22</v>
      </c>
      <c r="D610" t="s">
        <v>11</v>
      </c>
      <c r="E610" t="s">
        <v>17</v>
      </c>
      <c r="F610" s="1">
        <v>64</v>
      </c>
      <c r="G610" s="1">
        <v>53</v>
      </c>
      <c r="H610" s="1">
        <v>50</v>
      </c>
      <c r="I610" s="1">
        <f t="shared" si="27"/>
        <v>55.666666666666664</v>
      </c>
      <c r="J610" t="str">
        <f t="shared" si="28"/>
        <v>Average</v>
      </c>
      <c r="K610" t="str">
        <f t="shared" si="29"/>
        <v>Pass</v>
      </c>
    </row>
    <row r="611" spans="1:11" x14ac:dyDescent="0.25">
      <c r="A611" t="s">
        <v>8</v>
      </c>
      <c r="B611" t="s">
        <v>14</v>
      </c>
      <c r="C611" t="s">
        <v>15</v>
      </c>
      <c r="D611" t="s">
        <v>11</v>
      </c>
      <c r="E611" t="s">
        <v>17</v>
      </c>
      <c r="F611" s="1">
        <v>89</v>
      </c>
      <c r="G611" s="1">
        <v>73</v>
      </c>
      <c r="H611" s="1">
        <v>70</v>
      </c>
      <c r="I611" s="1">
        <f t="shared" si="27"/>
        <v>77.333333333333329</v>
      </c>
      <c r="J611" t="str">
        <f t="shared" si="28"/>
        <v>Good</v>
      </c>
      <c r="K611" t="str">
        <f t="shared" si="29"/>
        <v>Pass</v>
      </c>
    </row>
    <row r="612" spans="1:11" x14ac:dyDescent="0.25">
      <c r="A612" t="s">
        <v>8</v>
      </c>
      <c r="B612" t="s">
        <v>18</v>
      </c>
      <c r="C612" t="s">
        <v>21</v>
      </c>
      <c r="D612" t="s">
        <v>16</v>
      </c>
      <c r="E612" t="s">
        <v>17</v>
      </c>
      <c r="F612" s="1">
        <v>58</v>
      </c>
      <c r="G612" s="1">
        <v>53</v>
      </c>
      <c r="H612" s="1">
        <v>54</v>
      </c>
      <c r="I612" s="1">
        <f t="shared" si="27"/>
        <v>55</v>
      </c>
      <c r="J612" t="str">
        <f t="shared" si="28"/>
        <v>Average</v>
      </c>
      <c r="K612" t="str">
        <f t="shared" si="29"/>
        <v>Pass</v>
      </c>
    </row>
    <row r="613" spans="1:11" x14ac:dyDescent="0.25">
      <c r="A613" t="s">
        <v>13</v>
      </c>
      <c r="B613" t="s">
        <v>9</v>
      </c>
      <c r="C613" t="s">
        <v>10</v>
      </c>
      <c r="D613" t="s">
        <v>11</v>
      </c>
      <c r="E613" t="s">
        <v>12</v>
      </c>
      <c r="F613" s="1">
        <v>63</v>
      </c>
      <c r="G613" s="1">
        <v>81</v>
      </c>
      <c r="H613" s="1">
        <v>78</v>
      </c>
      <c r="I613" s="1">
        <f t="shared" si="27"/>
        <v>74</v>
      </c>
      <c r="J613" t="str">
        <f t="shared" si="28"/>
        <v>Good</v>
      </c>
      <c r="K613" t="str">
        <f t="shared" si="29"/>
        <v>Pass</v>
      </c>
    </row>
    <row r="614" spans="1:11" x14ac:dyDescent="0.25">
      <c r="A614" t="s">
        <v>13</v>
      </c>
      <c r="B614" t="s">
        <v>9</v>
      </c>
      <c r="C614" t="s">
        <v>22</v>
      </c>
      <c r="D614" t="s">
        <v>11</v>
      </c>
      <c r="E614" t="s">
        <v>17</v>
      </c>
      <c r="F614" s="1">
        <v>54</v>
      </c>
      <c r="G614" s="1">
        <v>66</v>
      </c>
      <c r="H614" s="1">
        <v>69</v>
      </c>
      <c r="I614" s="1">
        <f t="shared" si="27"/>
        <v>63</v>
      </c>
      <c r="J614" t="str">
        <f t="shared" si="28"/>
        <v>Good</v>
      </c>
      <c r="K614" t="str">
        <f t="shared" si="29"/>
        <v>Pass</v>
      </c>
    </row>
    <row r="615" spans="1:11" x14ac:dyDescent="0.25">
      <c r="A615" t="s">
        <v>8</v>
      </c>
      <c r="B615" t="s">
        <v>23</v>
      </c>
      <c r="C615" t="s">
        <v>10</v>
      </c>
      <c r="D615" t="s">
        <v>16</v>
      </c>
      <c r="E615" t="s">
        <v>12</v>
      </c>
      <c r="F615" s="1">
        <v>83</v>
      </c>
      <c r="G615" s="1">
        <v>78</v>
      </c>
      <c r="H615" s="1">
        <v>82</v>
      </c>
      <c r="I615" s="1">
        <f t="shared" si="27"/>
        <v>81</v>
      </c>
      <c r="J615" t="str">
        <f t="shared" si="28"/>
        <v>Excellent</v>
      </c>
      <c r="K615" t="str">
        <f t="shared" si="29"/>
        <v>Pass</v>
      </c>
    </row>
    <row r="616" spans="1:11" x14ac:dyDescent="0.25">
      <c r="A616" t="s">
        <v>13</v>
      </c>
      <c r="B616" t="s">
        <v>23</v>
      </c>
      <c r="C616" t="s">
        <v>10</v>
      </c>
      <c r="D616" t="s">
        <v>11</v>
      </c>
      <c r="E616" t="s">
        <v>17</v>
      </c>
      <c r="F616" s="1">
        <v>57</v>
      </c>
      <c r="G616" s="1">
        <v>74</v>
      </c>
      <c r="H616" s="1">
        <v>64</v>
      </c>
      <c r="I616" s="1">
        <f t="shared" si="27"/>
        <v>65</v>
      </c>
      <c r="J616" t="str">
        <f t="shared" si="28"/>
        <v>Good</v>
      </c>
      <c r="K616" t="str">
        <f t="shared" si="29"/>
        <v>Pass</v>
      </c>
    </row>
    <row r="617" spans="1:11" x14ac:dyDescent="0.25">
      <c r="A617" t="s">
        <v>13</v>
      </c>
      <c r="B617" t="s">
        <v>23</v>
      </c>
      <c r="C617" t="s">
        <v>10</v>
      </c>
      <c r="D617" t="s">
        <v>11</v>
      </c>
      <c r="E617" t="s">
        <v>17</v>
      </c>
      <c r="F617" s="1">
        <v>52</v>
      </c>
      <c r="G617" s="1">
        <v>47</v>
      </c>
      <c r="H617" s="1">
        <v>48</v>
      </c>
      <c r="I617" s="1">
        <f t="shared" si="27"/>
        <v>49</v>
      </c>
      <c r="J617" t="str">
        <f t="shared" si="28"/>
        <v>Average</v>
      </c>
      <c r="K617" t="str">
        <f t="shared" si="29"/>
        <v>Pass</v>
      </c>
    </row>
    <row r="618" spans="1:11" x14ac:dyDescent="0.25">
      <c r="A618" t="s">
        <v>13</v>
      </c>
      <c r="B618" t="s">
        <v>14</v>
      </c>
      <c r="C618" t="s">
        <v>10</v>
      </c>
      <c r="D618" t="s">
        <v>11</v>
      </c>
      <c r="E618" t="s">
        <v>12</v>
      </c>
      <c r="F618" s="1">
        <v>75</v>
      </c>
      <c r="G618" s="1">
        <v>93</v>
      </c>
      <c r="H618" s="1">
        <v>97</v>
      </c>
      <c r="I618" s="1">
        <f t="shared" si="27"/>
        <v>88.333333333333329</v>
      </c>
      <c r="J618" t="str">
        <f t="shared" si="28"/>
        <v>Excellent</v>
      </c>
      <c r="K618" t="str">
        <f t="shared" si="29"/>
        <v>Pass</v>
      </c>
    </row>
    <row r="619" spans="1:11" x14ac:dyDescent="0.25">
      <c r="A619" t="s">
        <v>8</v>
      </c>
      <c r="B619" t="s">
        <v>18</v>
      </c>
      <c r="C619" t="s">
        <v>10</v>
      </c>
      <c r="D619" t="s">
        <v>16</v>
      </c>
      <c r="E619" t="s">
        <v>12</v>
      </c>
      <c r="F619" s="1">
        <v>67</v>
      </c>
      <c r="G619" s="1">
        <v>66</v>
      </c>
      <c r="H619" s="1">
        <v>64</v>
      </c>
      <c r="I619" s="1">
        <f t="shared" si="27"/>
        <v>65.666666666666671</v>
      </c>
      <c r="J619" t="str">
        <f t="shared" si="28"/>
        <v>Good</v>
      </c>
      <c r="K619" t="str">
        <f t="shared" si="29"/>
        <v>Pass</v>
      </c>
    </row>
    <row r="620" spans="1:11" x14ac:dyDescent="0.25">
      <c r="A620" t="s">
        <v>8</v>
      </c>
      <c r="B620" t="s">
        <v>20</v>
      </c>
      <c r="C620" t="s">
        <v>15</v>
      </c>
      <c r="D620" t="s">
        <v>11</v>
      </c>
      <c r="E620" t="s">
        <v>17</v>
      </c>
      <c r="F620" s="1">
        <v>58</v>
      </c>
      <c r="G620" s="1">
        <v>60</v>
      </c>
      <c r="H620" s="1">
        <v>53</v>
      </c>
      <c r="I620" s="1">
        <f t="shared" si="27"/>
        <v>57</v>
      </c>
      <c r="J620" t="str">
        <f t="shared" si="28"/>
        <v>Average</v>
      </c>
      <c r="K620" t="str">
        <f t="shared" si="29"/>
        <v>Pass</v>
      </c>
    </row>
    <row r="621" spans="1:11" x14ac:dyDescent="0.25">
      <c r="A621" t="s">
        <v>13</v>
      </c>
      <c r="B621" t="s">
        <v>20</v>
      </c>
      <c r="C621" t="s">
        <v>22</v>
      </c>
      <c r="D621" t="s">
        <v>16</v>
      </c>
      <c r="E621" t="s">
        <v>17</v>
      </c>
      <c r="F621" s="1">
        <v>63</v>
      </c>
      <c r="G621" s="1">
        <v>66</v>
      </c>
      <c r="H621" s="1">
        <v>68</v>
      </c>
      <c r="I621" s="1">
        <f t="shared" si="27"/>
        <v>65.666666666666671</v>
      </c>
      <c r="J621" t="str">
        <f t="shared" si="28"/>
        <v>Good</v>
      </c>
      <c r="K621" t="str">
        <f t="shared" si="29"/>
        <v>Pass</v>
      </c>
    </row>
    <row r="622" spans="1:11" x14ac:dyDescent="0.25">
      <c r="A622" t="s">
        <v>13</v>
      </c>
      <c r="B622" t="s">
        <v>14</v>
      </c>
      <c r="C622" t="s">
        <v>15</v>
      </c>
      <c r="D622" t="s">
        <v>16</v>
      </c>
      <c r="E622" t="s">
        <v>17</v>
      </c>
      <c r="F622" s="1">
        <v>49</v>
      </c>
      <c r="G622" s="1">
        <v>64</v>
      </c>
      <c r="H622" s="1">
        <v>57</v>
      </c>
      <c r="I622" s="1">
        <f t="shared" si="27"/>
        <v>56.666666666666664</v>
      </c>
      <c r="J622" t="str">
        <f t="shared" si="28"/>
        <v>Average</v>
      </c>
      <c r="K622" t="str">
        <f t="shared" si="29"/>
        <v>Pass</v>
      </c>
    </row>
    <row r="623" spans="1:11" x14ac:dyDescent="0.25">
      <c r="A623" t="s">
        <v>13</v>
      </c>
      <c r="B623" t="s">
        <v>14</v>
      </c>
      <c r="C623" t="s">
        <v>19</v>
      </c>
      <c r="D623" t="s">
        <v>16</v>
      </c>
      <c r="E623" t="s">
        <v>17</v>
      </c>
      <c r="F623" s="1">
        <v>38</v>
      </c>
      <c r="G623" s="1">
        <v>47</v>
      </c>
      <c r="H623" s="1">
        <v>52</v>
      </c>
      <c r="I623" s="1">
        <f t="shared" si="27"/>
        <v>45.666666666666664</v>
      </c>
      <c r="J623" t="str">
        <f t="shared" si="28"/>
        <v>Average</v>
      </c>
      <c r="K623" t="str">
        <f t="shared" si="29"/>
        <v>Pass</v>
      </c>
    </row>
    <row r="624" spans="1:11" x14ac:dyDescent="0.25">
      <c r="A624" t="s">
        <v>13</v>
      </c>
      <c r="B624" t="s">
        <v>20</v>
      </c>
      <c r="C624" t="s">
        <v>19</v>
      </c>
      <c r="D624" t="s">
        <v>11</v>
      </c>
      <c r="E624" t="s">
        <v>12</v>
      </c>
      <c r="F624" s="1">
        <v>74</v>
      </c>
      <c r="G624" s="1">
        <v>85</v>
      </c>
      <c r="H624" s="1">
        <v>84</v>
      </c>
      <c r="I624" s="1">
        <f t="shared" si="27"/>
        <v>81</v>
      </c>
      <c r="J624" t="str">
        <f t="shared" si="28"/>
        <v>Excellent</v>
      </c>
      <c r="K624" t="str">
        <f t="shared" si="29"/>
        <v>Pass</v>
      </c>
    </row>
    <row r="625" spans="1:11" x14ac:dyDescent="0.25">
      <c r="A625" t="s">
        <v>8</v>
      </c>
      <c r="B625" t="s">
        <v>23</v>
      </c>
      <c r="C625" t="s">
        <v>21</v>
      </c>
      <c r="D625" t="s">
        <v>16</v>
      </c>
      <c r="E625" t="s">
        <v>12</v>
      </c>
      <c r="F625" s="1">
        <v>69</v>
      </c>
      <c r="G625" s="1">
        <v>84</v>
      </c>
      <c r="H625" s="1">
        <v>82</v>
      </c>
      <c r="I625" s="1">
        <f t="shared" si="27"/>
        <v>78.333333333333329</v>
      </c>
      <c r="J625" t="str">
        <f t="shared" si="28"/>
        <v>Good</v>
      </c>
      <c r="K625" t="str">
        <f t="shared" si="29"/>
        <v>Pass</v>
      </c>
    </row>
    <row r="626" spans="1:11" x14ac:dyDescent="0.25">
      <c r="A626" t="s">
        <v>13</v>
      </c>
      <c r="B626" t="s">
        <v>14</v>
      </c>
      <c r="C626" t="s">
        <v>21</v>
      </c>
      <c r="D626" t="s">
        <v>11</v>
      </c>
      <c r="E626" t="s">
        <v>17</v>
      </c>
      <c r="F626" s="1">
        <v>77</v>
      </c>
      <c r="G626" s="1">
        <v>82</v>
      </c>
      <c r="H626" s="1">
        <v>80</v>
      </c>
      <c r="I626" s="1">
        <f t="shared" si="27"/>
        <v>79.666666666666671</v>
      </c>
      <c r="J626" t="str">
        <f t="shared" si="28"/>
        <v>Good</v>
      </c>
      <c r="K626" t="str">
        <f t="shared" si="29"/>
        <v>Pass</v>
      </c>
    </row>
    <row r="627" spans="1:11" x14ac:dyDescent="0.25">
      <c r="A627" t="s">
        <v>13</v>
      </c>
      <c r="B627" t="s">
        <v>9</v>
      </c>
      <c r="C627" t="s">
        <v>24</v>
      </c>
      <c r="D627" t="s">
        <v>16</v>
      </c>
      <c r="E627" t="s">
        <v>17</v>
      </c>
      <c r="F627" s="1">
        <v>40</v>
      </c>
      <c r="G627" s="1">
        <v>59</v>
      </c>
      <c r="H627" s="1">
        <v>59</v>
      </c>
      <c r="I627" s="1">
        <f t="shared" si="27"/>
        <v>52.666666666666664</v>
      </c>
      <c r="J627" t="str">
        <f t="shared" si="28"/>
        <v>Average</v>
      </c>
      <c r="K627" t="str">
        <f t="shared" si="29"/>
        <v>Pass</v>
      </c>
    </row>
    <row r="628" spans="1:11" x14ac:dyDescent="0.25">
      <c r="A628" t="s">
        <v>13</v>
      </c>
      <c r="B628" t="s">
        <v>20</v>
      </c>
      <c r="C628" t="s">
        <v>24</v>
      </c>
      <c r="D628" t="s">
        <v>11</v>
      </c>
      <c r="E628" t="s">
        <v>12</v>
      </c>
      <c r="F628" s="1">
        <v>96</v>
      </c>
      <c r="G628" s="1">
        <v>98</v>
      </c>
      <c r="H628" s="1">
        <v>100</v>
      </c>
      <c r="I628" s="1">
        <f t="shared" si="27"/>
        <v>98</v>
      </c>
      <c r="J628" t="str">
        <f t="shared" si="28"/>
        <v>Excellent</v>
      </c>
      <c r="K628" t="str">
        <f t="shared" si="29"/>
        <v>Pass</v>
      </c>
    </row>
    <row r="629" spans="1:11" x14ac:dyDescent="0.25">
      <c r="A629" t="s">
        <v>13</v>
      </c>
      <c r="B629" t="s">
        <v>20</v>
      </c>
      <c r="C629" t="s">
        <v>22</v>
      </c>
      <c r="D629" t="s">
        <v>11</v>
      </c>
      <c r="E629" t="s">
        <v>17</v>
      </c>
      <c r="F629" s="1">
        <v>85</v>
      </c>
      <c r="G629" s="1">
        <v>86</v>
      </c>
      <c r="H629" s="1">
        <v>85</v>
      </c>
      <c r="I629" s="1">
        <f t="shared" si="27"/>
        <v>85.333333333333329</v>
      </c>
      <c r="J629" t="str">
        <f t="shared" si="28"/>
        <v>Excellent</v>
      </c>
      <c r="K629" t="str">
        <f t="shared" si="29"/>
        <v>Pass</v>
      </c>
    </row>
    <row r="630" spans="1:11" x14ac:dyDescent="0.25">
      <c r="A630" t="s">
        <v>8</v>
      </c>
      <c r="B630" t="s">
        <v>14</v>
      </c>
      <c r="C630" t="s">
        <v>21</v>
      </c>
      <c r="D630" t="s">
        <v>11</v>
      </c>
      <c r="E630" t="s">
        <v>17</v>
      </c>
      <c r="F630" s="1">
        <v>85</v>
      </c>
      <c r="G630" s="1">
        <v>77</v>
      </c>
      <c r="H630" s="1">
        <v>76</v>
      </c>
      <c r="I630" s="1">
        <f t="shared" si="27"/>
        <v>79.333333333333329</v>
      </c>
      <c r="J630" t="str">
        <f t="shared" si="28"/>
        <v>Good</v>
      </c>
      <c r="K630" t="str">
        <f t="shared" si="29"/>
        <v>Pass</v>
      </c>
    </row>
    <row r="631" spans="1:11" x14ac:dyDescent="0.25">
      <c r="A631" t="s">
        <v>8</v>
      </c>
      <c r="B631" t="s">
        <v>23</v>
      </c>
      <c r="C631" t="s">
        <v>10</v>
      </c>
      <c r="D631" t="s">
        <v>11</v>
      </c>
      <c r="E631" t="s">
        <v>17</v>
      </c>
      <c r="F631" s="1">
        <v>72</v>
      </c>
      <c r="G631" s="1">
        <v>59</v>
      </c>
      <c r="H631" s="1">
        <v>54</v>
      </c>
      <c r="I631" s="1">
        <f t="shared" si="27"/>
        <v>61.666666666666664</v>
      </c>
      <c r="J631" t="str">
        <f t="shared" si="28"/>
        <v>Good</v>
      </c>
      <c r="K631" t="str">
        <f t="shared" si="29"/>
        <v>Pass</v>
      </c>
    </row>
    <row r="632" spans="1:11" x14ac:dyDescent="0.25">
      <c r="A632" t="s">
        <v>13</v>
      </c>
      <c r="B632" t="s">
        <v>20</v>
      </c>
      <c r="C632" t="s">
        <v>21</v>
      </c>
      <c r="D632" t="s">
        <v>16</v>
      </c>
      <c r="E632" t="s">
        <v>17</v>
      </c>
      <c r="F632" s="1">
        <v>63</v>
      </c>
      <c r="G632" s="1">
        <v>78</v>
      </c>
      <c r="H632" s="1">
        <v>73</v>
      </c>
      <c r="I632" s="1">
        <f t="shared" si="27"/>
        <v>71.333333333333329</v>
      </c>
      <c r="J632" t="str">
        <f t="shared" si="28"/>
        <v>Good</v>
      </c>
      <c r="K632" t="str">
        <f t="shared" si="29"/>
        <v>Pass</v>
      </c>
    </row>
    <row r="633" spans="1:11" x14ac:dyDescent="0.25">
      <c r="A633" t="s">
        <v>8</v>
      </c>
      <c r="B633" t="s">
        <v>20</v>
      </c>
      <c r="C633" t="s">
        <v>15</v>
      </c>
      <c r="D633" t="s">
        <v>11</v>
      </c>
      <c r="E633" t="s">
        <v>17</v>
      </c>
      <c r="F633" s="1">
        <v>58</v>
      </c>
      <c r="G633" s="1">
        <v>67</v>
      </c>
      <c r="H633" s="1">
        <v>58</v>
      </c>
      <c r="I633" s="1">
        <f t="shared" si="27"/>
        <v>61</v>
      </c>
      <c r="J633" t="str">
        <f t="shared" si="28"/>
        <v>Good</v>
      </c>
      <c r="K633" t="str">
        <f t="shared" si="29"/>
        <v>Pass</v>
      </c>
    </row>
    <row r="634" spans="1:11" x14ac:dyDescent="0.25">
      <c r="A634" t="s">
        <v>8</v>
      </c>
      <c r="B634" t="s">
        <v>20</v>
      </c>
      <c r="C634" t="s">
        <v>22</v>
      </c>
      <c r="D634" t="s">
        <v>16</v>
      </c>
      <c r="E634" t="s">
        <v>17</v>
      </c>
      <c r="F634" s="1">
        <v>58</v>
      </c>
      <c r="G634" s="1">
        <v>64</v>
      </c>
      <c r="H634" s="1">
        <v>54</v>
      </c>
      <c r="I634" s="1">
        <f t="shared" si="27"/>
        <v>58.666666666666664</v>
      </c>
      <c r="J634" t="str">
        <f t="shared" si="28"/>
        <v>Average</v>
      </c>
      <c r="K634" t="str">
        <f t="shared" si="29"/>
        <v>Pass</v>
      </c>
    </row>
    <row r="635" spans="1:11" x14ac:dyDescent="0.25">
      <c r="A635" t="s">
        <v>8</v>
      </c>
      <c r="B635" t="s">
        <v>23</v>
      </c>
      <c r="C635" t="s">
        <v>10</v>
      </c>
      <c r="D635" t="s">
        <v>16</v>
      </c>
      <c r="E635" t="s">
        <v>17</v>
      </c>
      <c r="F635" s="1">
        <v>51</v>
      </c>
      <c r="G635" s="1">
        <v>57</v>
      </c>
      <c r="H635" s="1">
        <v>53</v>
      </c>
      <c r="I635" s="1">
        <f t="shared" si="27"/>
        <v>53.666666666666664</v>
      </c>
      <c r="J635" t="str">
        <f t="shared" si="28"/>
        <v>Average</v>
      </c>
      <c r="K635" t="str">
        <f t="shared" si="29"/>
        <v>Pass</v>
      </c>
    </row>
    <row r="636" spans="1:11" x14ac:dyDescent="0.25">
      <c r="A636" t="s">
        <v>13</v>
      </c>
      <c r="B636" t="s">
        <v>14</v>
      </c>
      <c r="C636" t="s">
        <v>24</v>
      </c>
      <c r="D636" t="s">
        <v>11</v>
      </c>
      <c r="E636" t="s">
        <v>12</v>
      </c>
      <c r="F636" s="1">
        <v>100</v>
      </c>
      <c r="G636" s="1">
        <v>100</v>
      </c>
      <c r="H636" s="1">
        <v>100</v>
      </c>
      <c r="I636" s="1">
        <f t="shared" si="27"/>
        <v>100</v>
      </c>
      <c r="J636" t="str">
        <f t="shared" si="28"/>
        <v>Excellent</v>
      </c>
      <c r="K636" t="str">
        <f t="shared" si="29"/>
        <v>Pass</v>
      </c>
    </row>
    <row r="637" spans="1:11" x14ac:dyDescent="0.25">
      <c r="A637" t="s">
        <v>13</v>
      </c>
      <c r="B637" t="s">
        <v>14</v>
      </c>
      <c r="C637" t="s">
        <v>24</v>
      </c>
      <c r="D637" t="s">
        <v>11</v>
      </c>
      <c r="E637" t="s">
        <v>17</v>
      </c>
      <c r="F637" s="1">
        <v>77</v>
      </c>
      <c r="G637" s="1">
        <v>84</v>
      </c>
      <c r="H637" s="1">
        <v>92</v>
      </c>
      <c r="I637" s="1">
        <f t="shared" si="27"/>
        <v>84.333333333333329</v>
      </c>
      <c r="J637" t="str">
        <f t="shared" si="28"/>
        <v>Excellent</v>
      </c>
      <c r="K637" t="str">
        <f t="shared" si="29"/>
        <v>Pass</v>
      </c>
    </row>
    <row r="638" spans="1:11" x14ac:dyDescent="0.25">
      <c r="A638" t="s">
        <v>8</v>
      </c>
      <c r="B638" t="s">
        <v>18</v>
      </c>
      <c r="C638" t="s">
        <v>22</v>
      </c>
      <c r="D638" t="s">
        <v>16</v>
      </c>
      <c r="E638" t="s">
        <v>17</v>
      </c>
      <c r="F638" s="1">
        <v>63</v>
      </c>
      <c r="G638" s="1">
        <v>56</v>
      </c>
      <c r="H638" s="1">
        <v>56</v>
      </c>
      <c r="I638" s="1">
        <f t="shared" si="27"/>
        <v>58.333333333333336</v>
      </c>
      <c r="J638" t="str">
        <f t="shared" si="28"/>
        <v>Average</v>
      </c>
      <c r="K638" t="str">
        <f t="shared" si="29"/>
        <v>Pass</v>
      </c>
    </row>
    <row r="639" spans="1:11" x14ac:dyDescent="0.25">
      <c r="A639" t="s">
        <v>13</v>
      </c>
      <c r="B639" t="s">
        <v>23</v>
      </c>
      <c r="C639" t="s">
        <v>19</v>
      </c>
      <c r="D639" t="s">
        <v>11</v>
      </c>
      <c r="E639" t="s">
        <v>17</v>
      </c>
      <c r="F639" s="1">
        <v>64</v>
      </c>
      <c r="G639" s="1">
        <v>67</v>
      </c>
      <c r="H639" s="1">
        <v>68</v>
      </c>
      <c r="I639" s="1">
        <f t="shared" si="27"/>
        <v>66.333333333333329</v>
      </c>
      <c r="J639" t="str">
        <f t="shared" si="28"/>
        <v>Good</v>
      </c>
      <c r="K639" t="str">
        <f t="shared" si="29"/>
        <v>Pass</v>
      </c>
    </row>
    <row r="640" spans="1:11" x14ac:dyDescent="0.25">
      <c r="A640" t="s">
        <v>8</v>
      </c>
      <c r="B640" t="s">
        <v>18</v>
      </c>
      <c r="C640" t="s">
        <v>10</v>
      </c>
      <c r="D640" t="s">
        <v>11</v>
      </c>
      <c r="E640" t="s">
        <v>17</v>
      </c>
      <c r="F640" s="1">
        <v>100</v>
      </c>
      <c r="G640" s="1">
        <v>82</v>
      </c>
      <c r="H640" s="1">
        <v>80</v>
      </c>
      <c r="I640" s="1">
        <f t="shared" si="27"/>
        <v>87.333333333333329</v>
      </c>
      <c r="J640" t="str">
        <f t="shared" si="28"/>
        <v>Excellent</v>
      </c>
      <c r="K640" t="str">
        <f t="shared" si="29"/>
        <v>Pass</v>
      </c>
    </row>
    <row r="641" spans="1:11" x14ac:dyDescent="0.25">
      <c r="A641" t="s">
        <v>8</v>
      </c>
      <c r="B641" t="s">
        <v>23</v>
      </c>
      <c r="C641" t="s">
        <v>21</v>
      </c>
      <c r="D641" t="s">
        <v>11</v>
      </c>
      <c r="E641" t="s">
        <v>17</v>
      </c>
      <c r="F641" s="1">
        <v>66</v>
      </c>
      <c r="G641" s="1">
        <v>65</v>
      </c>
      <c r="H641" s="1">
        <v>65</v>
      </c>
      <c r="I641" s="1">
        <f t="shared" si="27"/>
        <v>65.333333333333329</v>
      </c>
      <c r="J641" t="str">
        <f t="shared" si="28"/>
        <v>Good</v>
      </c>
      <c r="K641" t="str">
        <f t="shared" si="29"/>
        <v>Pass</v>
      </c>
    </row>
    <row r="642" spans="1:11" x14ac:dyDescent="0.25">
      <c r="A642" t="s">
        <v>8</v>
      </c>
      <c r="B642" t="s">
        <v>18</v>
      </c>
      <c r="C642" t="s">
        <v>22</v>
      </c>
      <c r="D642" t="s">
        <v>11</v>
      </c>
      <c r="E642" t="s">
        <v>17</v>
      </c>
      <c r="F642" s="1">
        <v>87</v>
      </c>
      <c r="G642" s="1">
        <v>87</v>
      </c>
      <c r="H642" s="1">
        <v>84</v>
      </c>
      <c r="I642" s="1">
        <f t="shared" ref="I642:I705" si="30">AVERAGE(F642:H642)</f>
        <v>86</v>
      </c>
      <c r="J642" t="str">
        <f t="shared" ref="J642:J705" si="31">IF(I642&gt;=80,"Excellent", IF(I642&gt;=60,"Good", IF(I642&gt;=40,"Average","Poor")))</f>
        <v>Excellent</v>
      </c>
      <c r="K642" t="str">
        <f t="shared" ref="K642:K705" si="32">IF(I642&gt;=40, "Pass","Fail")</f>
        <v>Pass</v>
      </c>
    </row>
    <row r="643" spans="1:11" x14ac:dyDescent="0.25">
      <c r="A643" t="s">
        <v>8</v>
      </c>
      <c r="B643" t="s">
        <v>23</v>
      </c>
      <c r="C643" t="s">
        <v>10</v>
      </c>
      <c r="D643" t="s">
        <v>11</v>
      </c>
      <c r="E643" t="s">
        <v>17</v>
      </c>
      <c r="F643" s="1">
        <v>73</v>
      </c>
      <c r="G643" s="1">
        <v>72</v>
      </c>
      <c r="H643" s="1">
        <v>69</v>
      </c>
      <c r="I643" s="1">
        <f t="shared" si="30"/>
        <v>71.333333333333329</v>
      </c>
      <c r="J643" t="str">
        <f t="shared" si="31"/>
        <v>Good</v>
      </c>
      <c r="K643" t="str">
        <f t="shared" si="32"/>
        <v>Pass</v>
      </c>
    </row>
    <row r="644" spans="1:11" x14ac:dyDescent="0.25">
      <c r="A644" t="s">
        <v>8</v>
      </c>
      <c r="B644" t="s">
        <v>23</v>
      </c>
      <c r="C644" t="s">
        <v>24</v>
      </c>
      <c r="D644" t="s">
        <v>16</v>
      </c>
      <c r="E644" t="s">
        <v>12</v>
      </c>
      <c r="F644" s="1">
        <v>69</v>
      </c>
      <c r="G644" s="1">
        <v>66</v>
      </c>
      <c r="H644" s="1">
        <v>65</v>
      </c>
      <c r="I644" s="1">
        <f t="shared" si="30"/>
        <v>66.666666666666671</v>
      </c>
      <c r="J644" t="str">
        <f t="shared" si="31"/>
        <v>Good</v>
      </c>
      <c r="K644" t="str">
        <f t="shared" si="32"/>
        <v>Pass</v>
      </c>
    </row>
    <row r="645" spans="1:11" x14ac:dyDescent="0.25">
      <c r="A645" t="s">
        <v>13</v>
      </c>
      <c r="B645" t="s">
        <v>23</v>
      </c>
      <c r="C645" t="s">
        <v>10</v>
      </c>
      <c r="D645" t="s">
        <v>11</v>
      </c>
      <c r="E645" t="s">
        <v>17</v>
      </c>
      <c r="F645" s="1">
        <v>62</v>
      </c>
      <c r="G645" s="1">
        <v>64</v>
      </c>
      <c r="H645" s="1">
        <v>63</v>
      </c>
      <c r="I645" s="1">
        <f t="shared" si="30"/>
        <v>63</v>
      </c>
      <c r="J645" t="str">
        <f t="shared" si="31"/>
        <v>Good</v>
      </c>
      <c r="K645" t="str">
        <f t="shared" si="32"/>
        <v>Pass</v>
      </c>
    </row>
    <row r="646" spans="1:11" x14ac:dyDescent="0.25">
      <c r="A646" t="s">
        <v>13</v>
      </c>
      <c r="B646" t="s">
        <v>23</v>
      </c>
      <c r="C646" t="s">
        <v>15</v>
      </c>
      <c r="D646" t="s">
        <v>11</v>
      </c>
      <c r="E646" t="s">
        <v>17</v>
      </c>
      <c r="F646" s="1">
        <v>40</v>
      </c>
      <c r="G646" s="1">
        <v>48</v>
      </c>
      <c r="H646" s="1">
        <v>49</v>
      </c>
      <c r="I646" s="1">
        <f t="shared" si="30"/>
        <v>45.666666666666664</v>
      </c>
      <c r="J646" t="str">
        <f t="shared" si="31"/>
        <v>Average</v>
      </c>
      <c r="K646" t="str">
        <f t="shared" si="32"/>
        <v>Pass</v>
      </c>
    </row>
    <row r="647" spans="1:11" x14ac:dyDescent="0.25">
      <c r="A647" t="s">
        <v>8</v>
      </c>
      <c r="B647" t="s">
        <v>23</v>
      </c>
      <c r="C647" t="s">
        <v>19</v>
      </c>
      <c r="D647" t="s">
        <v>16</v>
      </c>
      <c r="E647" t="s">
        <v>12</v>
      </c>
      <c r="F647" s="1">
        <v>55</v>
      </c>
      <c r="G647" s="1">
        <v>68</v>
      </c>
      <c r="H647" s="1">
        <v>60</v>
      </c>
      <c r="I647" s="1">
        <f t="shared" si="30"/>
        <v>61</v>
      </c>
      <c r="J647" t="str">
        <f t="shared" si="31"/>
        <v>Good</v>
      </c>
      <c r="K647" t="str">
        <f t="shared" si="32"/>
        <v>Pass</v>
      </c>
    </row>
    <row r="648" spans="1:11" x14ac:dyDescent="0.25">
      <c r="A648" t="s">
        <v>8</v>
      </c>
      <c r="B648" t="s">
        <v>14</v>
      </c>
      <c r="C648" t="s">
        <v>10</v>
      </c>
      <c r="D648" t="s">
        <v>11</v>
      </c>
      <c r="E648" t="s">
        <v>12</v>
      </c>
      <c r="F648" s="1">
        <v>77</v>
      </c>
      <c r="G648" s="1">
        <v>77</v>
      </c>
      <c r="H648" s="1">
        <v>78</v>
      </c>
      <c r="I648" s="1">
        <f t="shared" si="30"/>
        <v>77.333333333333329</v>
      </c>
      <c r="J648" t="str">
        <f t="shared" si="31"/>
        <v>Good</v>
      </c>
      <c r="K648" t="str">
        <f t="shared" si="32"/>
        <v>Pass</v>
      </c>
    </row>
    <row r="649" spans="1:11" x14ac:dyDescent="0.25">
      <c r="A649" t="s">
        <v>8</v>
      </c>
      <c r="B649" t="s">
        <v>14</v>
      </c>
      <c r="C649" t="s">
        <v>19</v>
      </c>
      <c r="D649" t="s">
        <v>11</v>
      </c>
      <c r="E649" t="s">
        <v>12</v>
      </c>
      <c r="F649" s="1">
        <v>63</v>
      </c>
      <c r="G649" s="1">
        <v>70</v>
      </c>
      <c r="H649" s="1">
        <v>71</v>
      </c>
      <c r="I649" s="1">
        <f t="shared" si="30"/>
        <v>68</v>
      </c>
      <c r="J649" t="str">
        <f t="shared" si="31"/>
        <v>Good</v>
      </c>
      <c r="K649" t="str">
        <f t="shared" si="32"/>
        <v>Pass</v>
      </c>
    </row>
    <row r="650" spans="1:11" x14ac:dyDescent="0.25">
      <c r="A650" t="s">
        <v>8</v>
      </c>
      <c r="B650" t="s">
        <v>14</v>
      </c>
      <c r="C650" t="s">
        <v>21</v>
      </c>
      <c r="D650" t="s">
        <v>11</v>
      </c>
      <c r="E650" t="s">
        <v>12</v>
      </c>
      <c r="F650" s="1">
        <v>85</v>
      </c>
      <c r="G650" s="1">
        <v>85</v>
      </c>
      <c r="H650" s="1">
        <v>91</v>
      </c>
      <c r="I650" s="1">
        <f t="shared" si="30"/>
        <v>87</v>
      </c>
      <c r="J650" t="str">
        <f t="shared" si="31"/>
        <v>Excellent</v>
      </c>
      <c r="K650" t="str">
        <f t="shared" si="32"/>
        <v>Pass</v>
      </c>
    </row>
    <row r="651" spans="1:11" x14ac:dyDescent="0.25">
      <c r="A651" t="s">
        <v>13</v>
      </c>
      <c r="B651" t="s">
        <v>20</v>
      </c>
      <c r="C651" t="s">
        <v>10</v>
      </c>
      <c r="D651" t="s">
        <v>16</v>
      </c>
      <c r="E651" t="s">
        <v>17</v>
      </c>
      <c r="F651" s="1">
        <v>30</v>
      </c>
      <c r="G651" s="1">
        <v>43</v>
      </c>
      <c r="H651" s="1">
        <v>40</v>
      </c>
      <c r="I651" s="1">
        <f t="shared" si="30"/>
        <v>37.666666666666664</v>
      </c>
      <c r="J651" t="str">
        <f t="shared" si="31"/>
        <v>Poor</v>
      </c>
      <c r="K651" t="str">
        <f t="shared" si="32"/>
        <v>Fail</v>
      </c>
    </row>
    <row r="652" spans="1:11" x14ac:dyDescent="0.25">
      <c r="A652" t="s">
        <v>8</v>
      </c>
      <c r="B652" t="s">
        <v>20</v>
      </c>
      <c r="C652" t="s">
        <v>10</v>
      </c>
      <c r="D652" t="s">
        <v>11</v>
      </c>
      <c r="E652" t="s">
        <v>17</v>
      </c>
      <c r="F652" s="1">
        <v>82</v>
      </c>
      <c r="G652" s="1">
        <v>77</v>
      </c>
      <c r="H652" s="1">
        <v>71</v>
      </c>
      <c r="I652" s="1">
        <f t="shared" si="30"/>
        <v>76.666666666666671</v>
      </c>
      <c r="J652" t="str">
        <f t="shared" si="31"/>
        <v>Good</v>
      </c>
      <c r="K652" t="str">
        <f t="shared" si="32"/>
        <v>Pass</v>
      </c>
    </row>
    <row r="653" spans="1:11" x14ac:dyDescent="0.25">
      <c r="A653" t="s">
        <v>8</v>
      </c>
      <c r="B653" t="s">
        <v>14</v>
      </c>
      <c r="C653" t="s">
        <v>21</v>
      </c>
      <c r="D653" t="s">
        <v>16</v>
      </c>
      <c r="E653" t="s">
        <v>12</v>
      </c>
      <c r="F653" s="1">
        <v>81</v>
      </c>
      <c r="G653" s="1">
        <v>71</v>
      </c>
      <c r="H653" s="1">
        <v>70</v>
      </c>
      <c r="I653" s="1">
        <f t="shared" si="30"/>
        <v>74</v>
      </c>
      <c r="J653" t="str">
        <f t="shared" si="31"/>
        <v>Good</v>
      </c>
      <c r="K653" t="str">
        <f t="shared" si="32"/>
        <v>Pass</v>
      </c>
    </row>
    <row r="654" spans="1:11" x14ac:dyDescent="0.25">
      <c r="A654" t="s">
        <v>13</v>
      </c>
      <c r="B654" t="s">
        <v>23</v>
      </c>
      <c r="C654" t="s">
        <v>15</v>
      </c>
      <c r="D654" t="s">
        <v>11</v>
      </c>
      <c r="E654" t="s">
        <v>12</v>
      </c>
      <c r="F654" s="1">
        <v>92</v>
      </c>
      <c r="G654" s="1">
        <v>100</v>
      </c>
      <c r="H654" s="1">
        <v>97</v>
      </c>
      <c r="I654" s="1">
        <f t="shared" si="30"/>
        <v>96.333333333333329</v>
      </c>
      <c r="J654" t="str">
        <f t="shared" si="31"/>
        <v>Excellent</v>
      </c>
      <c r="K654" t="str">
        <f t="shared" si="32"/>
        <v>Pass</v>
      </c>
    </row>
    <row r="655" spans="1:11" x14ac:dyDescent="0.25">
      <c r="A655" t="s">
        <v>8</v>
      </c>
      <c r="B655" t="s">
        <v>20</v>
      </c>
      <c r="C655" t="s">
        <v>19</v>
      </c>
      <c r="D655" t="s">
        <v>16</v>
      </c>
      <c r="E655" t="s">
        <v>17</v>
      </c>
      <c r="F655" s="1">
        <v>50</v>
      </c>
      <c r="G655" s="1">
        <v>48</v>
      </c>
      <c r="H655" s="1">
        <v>36</v>
      </c>
      <c r="I655" s="1">
        <f t="shared" si="30"/>
        <v>44.666666666666664</v>
      </c>
      <c r="J655" t="str">
        <f t="shared" si="31"/>
        <v>Average</v>
      </c>
      <c r="K655" t="str">
        <f t="shared" si="32"/>
        <v>Pass</v>
      </c>
    </row>
    <row r="656" spans="1:11" x14ac:dyDescent="0.25">
      <c r="A656" t="s">
        <v>13</v>
      </c>
      <c r="B656" t="s">
        <v>20</v>
      </c>
      <c r="C656" t="s">
        <v>21</v>
      </c>
      <c r="D656" t="s">
        <v>11</v>
      </c>
      <c r="E656" t="s">
        <v>17</v>
      </c>
      <c r="F656" s="1">
        <v>54</v>
      </c>
      <c r="G656" s="1">
        <v>60</v>
      </c>
      <c r="H656" s="1">
        <v>56</v>
      </c>
      <c r="I656" s="1">
        <f t="shared" si="30"/>
        <v>56.666666666666664</v>
      </c>
      <c r="J656" t="str">
        <f t="shared" si="31"/>
        <v>Average</v>
      </c>
      <c r="K656" t="str">
        <f t="shared" si="32"/>
        <v>Pass</v>
      </c>
    </row>
    <row r="657" spans="1:11" x14ac:dyDescent="0.25">
      <c r="A657" t="s">
        <v>8</v>
      </c>
      <c r="B657" t="s">
        <v>23</v>
      </c>
      <c r="C657" t="s">
        <v>21</v>
      </c>
      <c r="D657" t="s">
        <v>11</v>
      </c>
      <c r="E657" t="s">
        <v>12</v>
      </c>
      <c r="F657" s="1">
        <v>76</v>
      </c>
      <c r="G657" s="1">
        <v>83</v>
      </c>
      <c r="H657" s="1">
        <v>78</v>
      </c>
      <c r="I657" s="1">
        <f t="shared" si="30"/>
        <v>79</v>
      </c>
      <c r="J657" t="str">
        <f t="shared" si="31"/>
        <v>Good</v>
      </c>
      <c r="K657" t="str">
        <f t="shared" si="32"/>
        <v>Pass</v>
      </c>
    </row>
    <row r="658" spans="1:11" x14ac:dyDescent="0.25">
      <c r="A658" t="s">
        <v>13</v>
      </c>
      <c r="B658" t="s">
        <v>14</v>
      </c>
      <c r="C658" t="s">
        <v>15</v>
      </c>
      <c r="D658" t="s">
        <v>11</v>
      </c>
      <c r="E658" t="s">
        <v>17</v>
      </c>
      <c r="F658" s="1">
        <v>60</v>
      </c>
      <c r="G658" s="1">
        <v>68</v>
      </c>
      <c r="H658" s="1">
        <v>74</v>
      </c>
      <c r="I658" s="1">
        <f t="shared" si="30"/>
        <v>67.333333333333329</v>
      </c>
      <c r="J658" t="str">
        <f t="shared" si="31"/>
        <v>Good</v>
      </c>
      <c r="K658" t="str">
        <f t="shared" si="32"/>
        <v>Pass</v>
      </c>
    </row>
    <row r="659" spans="1:11" x14ac:dyDescent="0.25">
      <c r="A659" t="s">
        <v>13</v>
      </c>
      <c r="B659" t="s">
        <v>9</v>
      </c>
      <c r="C659" t="s">
        <v>21</v>
      </c>
      <c r="D659" t="s">
        <v>16</v>
      </c>
      <c r="E659" t="s">
        <v>12</v>
      </c>
      <c r="F659" s="1">
        <v>45</v>
      </c>
      <c r="G659" s="1">
        <v>72</v>
      </c>
      <c r="H659" s="1">
        <v>66</v>
      </c>
      <c r="I659" s="1">
        <f t="shared" si="30"/>
        <v>61</v>
      </c>
      <c r="J659" t="str">
        <f t="shared" si="31"/>
        <v>Good</v>
      </c>
      <c r="K659" t="str">
        <f t="shared" si="32"/>
        <v>Pass</v>
      </c>
    </row>
    <row r="660" spans="1:11" x14ac:dyDescent="0.25">
      <c r="A660" t="s">
        <v>8</v>
      </c>
      <c r="B660" t="s">
        <v>14</v>
      </c>
      <c r="C660" t="s">
        <v>10</v>
      </c>
      <c r="D660" t="s">
        <v>11</v>
      </c>
      <c r="E660" t="s">
        <v>17</v>
      </c>
      <c r="F660" s="1">
        <v>80</v>
      </c>
      <c r="G660" s="1">
        <v>77</v>
      </c>
      <c r="H660" s="1">
        <v>72</v>
      </c>
      <c r="I660" s="1">
        <f t="shared" si="30"/>
        <v>76.333333333333329</v>
      </c>
      <c r="J660" t="str">
        <f t="shared" si="31"/>
        <v>Good</v>
      </c>
      <c r="K660" t="str">
        <f t="shared" si="32"/>
        <v>Pass</v>
      </c>
    </row>
    <row r="661" spans="1:11" x14ac:dyDescent="0.25">
      <c r="A661" t="s">
        <v>8</v>
      </c>
      <c r="B661" t="s">
        <v>14</v>
      </c>
      <c r="C661" t="s">
        <v>15</v>
      </c>
      <c r="D661" t="s">
        <v>16</v>
      </c>
      <c r="E661" t="s">
        <v>17</v>
      </c>
      <c r="F661" s="1">
        <v>52</v>
      </c>
      <c r="G661" s="1">
        <v>45</v>
      </c>
      <c r="H661" s="1">
        <v>48</v>
      </c>
      <c r="I661" s="1">
        <f t="shared" si="30"/>
        <v>48.333333333333336</v>
      </c>
      <c r="J661" t="str">
        <f t="shared" si="31"/>
        <v>Average</v>
      </c>
      <c r="K661" t="str">
        <f t="shared" si="32"/>
        <v>Pass</v>
      </c>
    </row>
    <row r="662" spans="1:11" x14ac:dyDescent="0.25">
      <c r="A662" t="s">
        <v>13</v>
      </c>
      <c r="B662" t="s">
        <v>23</v>
      </c>
      <c r="C662" t="s">
        <v>10</v>
      </c>
      <c r="D662" t="s">
        <v>11</v>
      </c>
      <c r="E662" t="s">
        <v>12</v>
      </c>
      <c r="F662" s="1">
        <v>90</v>
      </c>
      <c r="G662" s="1">
        <v>89</v>
      </c>
      <c r="H662" s="1">
        <v>97</v>
      </c>
      <c r="I662" s="1">
        <f t="shared" si="30"/>
        <v>92</v>
      </c>
      <c r="J662" t="str">
        <f t="shared" si="31"/>
        <v>Excellent</v>
      </c>
      <c r="K662" t="str">
        <f t="shared" si="32"/>
        <v>Pass</v>
      </c>
    </row>
    <row r="663" spans="1:11" x14ac:dyDescent="0.25">
      <c r="A663" t="s">
        <v>13</v>
      </c>
      <c r="B663" t="s">
        <v>14</v>
      </c>
      <c r="C663" t="s">
        <v>10</v>
      </c>
      <c r="D663" t="s">
        <v>16</v>
      </c>
      <c r="E663" t="s">
        <v>17</v>
      </c>
      <c r="F663" s="1">
        <v>53</v>
      </c>
      <c r="G663" s="1">
        <v>65</v>
      </c>
      <c r="H663" s="1">
        <v>69</v>
      </c>
      <c r="I663" s="1">
        <f t="shared" si="30"/>
        <v>62.333333333333336</v>
      </c>
      <c r="J663" t="str">
        <f t="shared" si="31"/>
        <v>Good</v>
      </c>
      <c r="K663" t="str">
        <f t="shared" si="32"/>
        <v>Pass</v>
      </c>
    </row>
    <row r="664" spans="1:11" x14ac:dyDescent="0.25">
      <c r="A664" t="s">
        <v>13</v>
      </c>
      <c r="B664" t="s">
        <v>23</v>
      </c>
      <c r="C664" t="s">
        <v>21</v>
      </c>
      <c r="D664" t="s">
        <v>11</v>
      </c>
      <c r="E664" t="s">
        <v>17</v>
      </c>
      <c r="F664" s="1">
        <v>92</v>
      </c>
      <c r="G664" s="1">
        <v>95</v>
      </c>
      <c r="H664" s="1">
        <v>95</v>
      </c>
      <c r="I664" s="1">
        <f t="shared" si="30"/>
        <v>94</v>
      </c>
      <c r="J664" t="str">
        <f t="shared" si="31"/>
        <v>Excellent</v>
      </c>
      <c r="K664" t="str">
        <f t="shared" si="32"/>
        <v>Pass</v>
      </c>
    </row>
    <row r="665" spans="1:11" x14ac:dyDescent="0.25">
      <c r="A665" t="s">
        <v>13</v>
      </c>
      <c r="B665" t="s">
        <v>23</v>
      </c>
      <c r="C665" t="s">
        <v>19</v>
      </c>
      <c r="D665" t="s">
        <v>11</v>
      </c>
      <c r="E665" t="s">
        <v>12</v>
      </c>
      <c r="F665" s="1">
        <v>63</v>
      </c>
      <c r="G665" s="1">
        <v>78</v>
      </c>
      <c r="H665" s="1">
        <v>75</v>
      </c>
      <c r="I665" s="1">
        <f t="shared" si="30"/>
        <v>72</v>
      </c>
      <c r="J665" t="str">
        <f t="shared" si="31"/>
        <v>Good</v>
      </c>
      <c r="K665" t="str">
        <f t="shared" si="32"/>
        <v>Pass</v>
      </c>
    </row>
    <row r="666" spans="1:11" x14ac:dyDescent="0.25">
      <c r="A666" t="s">
        <v>13</v>
      </c>
      <c r="B666" t="s">
        <v>20</v>
      </c>
      <c r="C666" t="s">
        <v>15</v>
      </c>
      <c r="D666" t="s">
        <v>11</v>
      </c>
      <c r="E666" t="s">
        <v>17</v>
      </c>
      <c r="F666" s="1">
        <v>71</v>
      </c>
      <c r="G666" s="1">
        <v>77</v>
      </c>
      <c r="H666" s="1">
        <v>79</v>
      </c>
      <c r="I666" s="1">
        <f t="shared" si="30"/>
        <v>75.666666666666671</v>
      </c>
      <c r="J666" t="str">
        <f t="shared" si="31"/>
        <v>Good</v>
      </c>
      <c r="K666" t="str">
        <f t="shared" si="32"/>
        <v>Pass</v>
      </c>
    </row>
    <row r="667" spans="1:11" x14ac:dyDescent="0.25">
      <c r="A667" t="s">
        <v>13</v>
      </c>
      <c r="B667" t="s">
        <v>14</v>
      </c>
      <c r="C667" t="s">
        <v>15</v>
      </c>
      <c r="D667" t="s">
        <v>11</v>
      </c>
      <c r="E667" t="s">
        <v>17</v>
      </c>
      <c r="F667" s="1">
        <v>64</v>
      </c>
      <c r="G667" s="1">
        <v>70</v>
      </c>
      <c r="H667" s="1">
        <v>73</v>
      </c>
      <c r="I667" s="1">
        <f t="shared" si="30"/>
        <v>69</v>
      </c>
      <c r="J667" t="str">
        <f t="shared" si="31"/>
        <v>Good</v>
      </c>
      <c r="K667" t="str">
        <f t="shared" si="32"/>
        <v>Pass</v>
      </c>
    </row>
    <row r="668" spans="1:11" x14ac:dyDescent="0.25">
      <c r="A668" t="s">
        <v>13</v>
      </c>
      <c r="B668" t="s">
        <v>23</v>
      </c>
      <c r="C668" t="s">
        <v>19</v>
      </c>
      <c r="D668" t="s">
        <v>11</v>
      </c>
      <c r="E668" t="s">
        <v>12</v>
      </c>
      <c r="F668" s="1">
        <v>67</v>
      </c>
      <c r="G668" s="1">
        <v>81</v>
      </c>
      <c r="H668" s="1">
        <v>89</v>
      </c>
      <c r="I668" s="1">
        <f t="shared" si="30"/>
        <v>79</v>
      </c>
      <c r="J668" t="str">
        <f t="shared" si="31"/>
        <v>Good</v>
      </c>
      <c r="K668" t="str">
        <f t="shared" si="32"/>
        <v>Pass</v>
      </c>
    </row>
    <row r="669" spans="1:11" x14ac:dyDescent="0.25">
      <c r="A669" t="s">
        <v>8</v>
      </c>
      <c r="B669" t="s">
        <v>23</v>
      </c>
      <c r="C669" t="s">
        <v>10</v>
      </c>
      <c r="D669" t="s">
        <v>16</v>
      </c>
      <c r="E669" t="s">
        <v>17</v>
      </c>
      <c r="F669" s="1">
        <v>63</v>
      </c>
      <c r="G669" s="1">
        <v>63</v>
      </c>
      <c r="H669" s="1">
        <v>61</v>
      </c>
      <c r="I669" s="1">
        <f t="shared" si="30"/>
        <v>62.333333333333336</v>
      </c>
      <c r="J669" t="str">
        <f t="shared" si="31"/>
        <v>Good</v>
      </c>
      <c r="K669" t="str">
        <f t="shared" si="32"/>
        <v>Pass</v>
      </c>
    </row>
    <row r="670" spans="1:11" x14ac:dyDescent="0.25">
      <c r="A670" t="s">
        <v>8</v>
      </c>
      <c r="B670" t="s">
        <v>20</v>
      </c>
      <c r="C670" t="s">
        <v>10</v>
      </c>
      <c r="D670" t="s">
        <v>11</v>
      </c>
      <c r="E670" t="s">
        <v>17</v>
      </c>
      <c r="F670" s="1">
        <v>63</v>
      </c>
      <c r="G670" s="1">
        <v>53</v>
      </c>
      <c r="H670" s="1">
        <v>44</v>
      </c>
      <c r="I670" s="1">
        <f t="shared" si="30"/>
        <v>53.333333333333336</v>
      </c>
      <c r="J670" t="str">
        <f t="shared" si="31"/>
        <v>Average</v>
      </c>
      <c r="K670" t="str">
        <f t="shared" si="32"/>
        <v>Pass</v>
      </c>
    </row>
    <row r="671" spans="1:11" x14ac:dyDescent="0.25">
      <c r="A671" t="s">
        <v>8</v>
      </c>
      <c r="B671" t="s">
        <v>23</v>
      </c>
      <c r="C671" t="s">
        <v>15</v>
      </c>
      <c r="D671" t="s">
        <v>11</v>
      </c>
      <c r="E671" t="s">
        <v>17</v>
      </c>
      <c r="F671" s="1">
        <v>59</v>
      </c>
      <c r="G671" s="1">
        <v>49</v>
      </c>
      <c r="H671" s="1">
        <v>46</v>
      </c>
      <c r="I671" s="1">
        <f t="shared" si="30"/>
        <v>51.333333333333336</v>
      </c>
      <c r="J671" t="str">
        <f t="shared" si="31"/>
        <v>Average</v>
      </c>
      <c r="K671" t="str">
        <f t="shared" si="32"/>
        <v>Pass</v>
      </c>
    </row>
    <row r="672" spans="1:11" x14ac:dyDescent="0.25">
      <c r="A672" t="s">
        <v>8</v>
      </c>
      <c r="B672" t="s">
        <v>18</v>
      </c>
      <c r="C672" t="s">
        <v>10</v>
      </c>
      <c r="D672" t="s">
        <v>11</v>
      </c>
      <c r="E672" t="s">
        <v>17</v>
      </c>
      <c r="F672" s="1">
        <v>49</v>
      </c>
      <c r="G672" s="1">
        <v>43</v>
      </c>
      <c r="H672" s="1">
        <v>35</v>
      </c>
      <c r="I672" s="1">
        <f t="shared" si="30"/>
        <v>42.333333333333336</v>
      </c>
      <c r="J672" t="str">
        <f t="shared" si="31"/>
        <v>Average</v>
      </c>
      <c r="K672" t="str">
        <f t="shared" si="32"/>
        <v>Pass</v>
      </c>
    </row>
    <row r="673" spans="1:11" x14ac:dyDescent="0.25">
      <c r="A673" t="s">
        <v>13</v>
      </c>
      <c r="B673" t="s">
        <v>14</v>
      </c>
      <c r="C673" t="s">
        <v>24</v>
      </c>
      <c r="D673" t="s">
        <v>11</v>
      </c>
      <c r="E673" t="s">
        <v>17</v>
      </c>
      <c r="F673" s="1">
        <v>75</v>
      </c>
      <c r="G673" s="1">
        <v>84</v>
      </c>
      <c r="H673" s="1">
        <v>86</v>
      </c>
      <c r="I673" s="1">
        <f t="shared" si="30"/>
        <v>81.666666666666671</v>
      </c>
      <c r="J673" t="str">
        <f t="shared" si="31"/>
        <v>Excellent</v>
      </c>
      <c r="K673" t="str">
        <f t="shared" si="32"/>
        <v>Pass</v>
      </c>
    </row>
    <row r="674" spans="1:11" x14ac:dyDescent="0.25">
      <c r="A674" t="s">
        <v>13</v>
      </c>
      <c r="B674" t="s">
        <v>23</v>
      </c>
      <c r="C674" t="s">
        <v>15</v>
      </c>
      <c r="D674" t="s">
        <v>16</v>
      </c>
      <c r="E674" t="s">
        <v>17</v>
      </c>
      <c r="F674" s="1">
        <v>34</v>
      </c>
      <c r="G674" s="1">
        <v>47</v>
      </c>
      <c r="H674" s="1">
        <v>45</v>
      </c>
      <c r="I674" s="1">
        <f t="shared" si="30"/>
        <v>42</v>
      </c>
      <c r="J674" t="str">
        <f t="shared" si="31"/>
        <v>Average</v>
      </c>
      <c r="K674" t="str">
        <f t="shared" si="32"/>
        <v>Pass</v>
      </c>
    </row>
    <row r="675" spans="1:11" x14ac:dyDescent="0.25">
      <c r="A675" t="s">
        <v>13</v>
      </c>
      <c r="B675" t="s">
        <v>20</v>
      </c>
      <c r="C675" t="s">
        <v>21</v>
      </c>
      <c r="D675" t="s">
        <v>16</v>
      </c>
      <c r="E675" t="s">
        <v>17</v>
      </c>
      <c r="F675" s="1">
        <v>53</v>
      </c>
      <c r="G675" s="1">
        <v>70</v>
      </c>
      <c r="H675" s="1">
        <v>69</v>
      </c>
      <c r="I675" s="1">
        <f t="shared" si="30"/>
        <v>64</v>
      </c>
      <c r="J675" t="str">
        <f t="shared" si="31"/>
        <v>Good</v>
      </c>
      <c r="K675" t="str">
        <f t="shared" si="32"/>
        <v>Pass</v>
      </c>
    </row>
    <row r="676" spans="1:11" x14ac:dyDescent="0.25">
      <c r="A676" t="s">
        <v>8</v>
      </c>
      <c r="B676" t="s">
        <v>20</v>
      </c>
      <c r="C676" t="s">
        <v>24</v>
      </c>
      <c r="D676" t="s">
        <v>11</v>
      </c>
      <c r="E676" t="s">
        <v>17</v>
      </c>
      <c r="F676" s="1">
        <v>63</v>
      </c>
      <c r="G676" s="1">
        <v>56</v>
      </c>
      <c r="H676" s="1">
        <v>60</v>
      </c>
      <c r="I676" s="1">
        <f t="shared" si="30"/>
        <v>59.666666666666664</v>
      </c>
      <c r="J676" t="str">
        <f t="shared" si="31"/>
        <v>Average</v>
      </c>
      <c r="K676" t="str">
        <f t="shared" si="32"/>
        <v>Pass</v>
      </c>
    </row>
    <row r="677" spans="1:11" x14ac:dyDescent="0.25">
      <c r="A677" t="s">
        <v>8</v>
      </c>
      <c r="B677" t="s">
        <v>23</v>
      </c>
      <c r="C677" t="s">
        <v>21</v>
      </c>
      <c r="D677" t="s">
        <v>11</v>
      </c>
      <c r="E677" t="s">
        <v>17</v>
      </c>
      <c r="F677" s="1">
        <v>75</v>
      </c>
      <c r="G677" s="1">
        <v>69</v>
      </c>
      <c r="H677" s="1">
        <v>65</v>
      </c>
      <c r="I677" s="1">
        <f t="shared" si="30"/>
        <v>69.666666666666671</v>
      </c>
      <c r="J677" t="str">
        <f t="shared" si="31"/>
        <v>Good</v>
      </c>
      <c r="K677" t="str">
        <f t="shared" si="32"/>
        <v>Pass</v>
      </c>
    </row>
    <row r="678" spans="1:11" x14ac:dyDescent="0.25">
      <c r="A678" t="s">
        <v>8</v>
      </c>
      <c r="B678" t="s">
        <v>18</v>
      </c>
      <c r="C678" t="s">
        <v>21</v>
      </c>
      <c r="D678" t="s">
        <v>16</v>
      </c>
      <c r="E678" t="s">
        <v>17</v>
      </c>
      <c r="F678" s="1">
        <v>63</v>
      </c>
      <c r="G678" s="1">
        <v>61</v>
      </c>
      <c r="H678" s="1">
        <v>62</v>
      </c>
      <c r="I678" s="1">
        <f t="shared" si="30"/>
        <v>62</v>
      </c>
      <c r="J678" t="str">
        <f t="shared" si="31"/>
        <v>Good</v>
      </c>
      <c r="K678" t="str">
        <f t="shared" si="32"/>
        <v>Pass</v>
      </c>
    </row>
    <row r="679" spans="1:11" x14ac:dyDescent="0.25">
      <c r="A679" t="s">
        <v>13</v>
      </c>
      <c r="B679" t="s">
        <v>23</v>
      </c>
      <c r="C679" t="s">
        <v>10</v>
      </c>
      <c r="D679" t="s">
        <v>11</v>
      </c>
      <c r="E679" t="s">
        <v>17</v>
      </c>
      <c r="F679" s="1">
        <v>70</v>
      </c>
      <c r="G679" s="1">
        <v>72</v>
      </c>
      <c r="H679" s="1">
        <v>75</v>
      </c>
      <c r="I679" s="1">
        <f t="shared" si="30"/>
        <v>72.333333333333329</v>
      </c>
      <c r="J679" t="str">
        <f t="shared" si="31"/>
        <v>Good</v>
      </c>
      <c r="K679" t="str">
        <f t="shared" si="32"/>
        <v>Pass</v>
      </c>
    </row>
    <row r="680" spans="1:11" x14ac:dyDescent="0.25">
      <c r="A680" t="s">
        <v>13</v>
      </c>
      <c r="B680" t="s">
        <v>23</v>
      </c>
      <c r="C680" t="s">
        <v>19</v>
      </c>
      <c r="D680" t="s">
        <v>11</v>
      </c>
      <c r="E680" t="s">
        <v>17</v>
      </c>
      <c r="F680" s="1">
        <v>61</v>
      </c>
      <c r="G680" s="1">
        <v>73</v>
      </c>
      <c r="H680" s="1">
        <v>70</v>
      </c>
      <c r="I680" s="1">
        <f t="shared" si="30"/>
        <v>68</v>
      </c>
      <c r="J680" t="str">
        <f t="shared" si="31"/>
        <v>Good</v>
      </c>
      <c r="K680" t="str">
        <f t="shared" si="32"/>
        <v>Pass</v>
      </c>
    </row>
    <row r="681" spans="1:11" x14ac:dyDescent="0.25">
      <c r="A681" t="s">
        <v>8</v>
      </c>
      <c r="B681" t="s">
        <v>23</v>
      </c>
      <c r="C681" t="s">
        <v>21</v>
      </c>
      <c r="D681" t="s">
        <v>11</v>
      </c>
      <c r="E681" t="s">
        <v>17</v>
      </c>
      <c r="F681" s="1">
        <v>74</v>
      </c>
      <c r="G681" s="1">
        <v>61</v>
      </c>
      <c r="H681" s="1">
        <v>59</v>
      </c>
      <c r="I681" s="1">
        <f t="shared" si="30"/>
        <v>64.666666666666671</v>
      </c>
      <c r="J681" t="str">
        <f t="shared" si="31"/>
        <v>Good</v>
      </c>
      <c r="K681" t="str">
        <f t="shared" si="32"/>
        <v>Pass</v>
      </c>
    </row>
    <row r="682" spans="1:11" x14ac:dyDescent="0.25">
      <c r="A682" t="s">
        <v>8</v>
      </c>
      <c r="B682" t="s">
        <v>14</v>
      </c>
      <c r="C682" t="s">
        <v>21</v>
      </c>
      <c r="D682" t="s">
        <v>16</v>
      </c>
      <c r="E682" t="s">
        <v>17</v>
      </c>
      <c r="F682" s="1">
        <v>57</v>
      </c>
      <c r="G682" s="1">
        <v>49</v>
      </c>
      <c r="H682" s="1">
        <v>48</v>
      </c>
      <c r="I682" s="1">
        <f t="shared" si="30"/>
        <v>51.333333333333336</v>
      </c>
      <c r="J682" t="str">
        <f t="shared" si="31"/>
        <v>Average</v>
      </c>
      <c r="K682" t="str">
        <f t="shared" si="32"/>
        <v>Pass</v>
      </c>
    </row>
    <row r="683" spans="1:11" x14ac:dyDescent="0.25">
      <c r="A683" t="s">
        <v>8</v>
      </c>
      <c r="B683" t="s">
        <v>23</v>
      </c>
      <c r="C683" t="s">
        <v>15</v>
      </c>
      <c r="D683" t="s">
        <v>16</v>
      </c>
      <c r="E683" t="s">
        <v>12</v>
      </c>
      <c r="F683" s="1">
        <v>41</v>
      </c>
      <c r="G683" s="1">
        <v>52</v>
      </c>
      <c r="H683" s="1">
        <v>47</v>
      </c>
      <c r="I683" s="1">
        <f t="shared" si="30"/>
        <v>46.666666666666664</v>
      </c>
      <c r="J683" t="str">
        <f t="shared" si="31"/>
        <v>Average</v>
      </c>
      <c r="K683" t="str">
        <f t="shared" si="32"/>
        <v>Pass</v>
      </c>
    </row>
    <row r="684" spans="1:11" x14ac:dyDescent="0.25">
      <c r="A684" t="s">
        <v>8</v>
      </c>
      <c r="B684" t="s">
        <v>14</v>
      </c>
      <c r="C684" t="s">
        <v>15</v>
      </c>
      <c r="D684" t="s">
        <v>11</v>
      </c>
      <c r="E684" t="s">
        <v>17</v>
      </c>
      <c r="F684" s="1">
        <v>87</v>
      </c>
      <c r="G684" s="1">
        <v>80</v>
      </c>
      <c r="H684" s="1">
        <v>76</v>
      </c>
      <c r="I684" s="1">
        <f t="shared" si="30"/>
        <v>81</v>
      </c>
      <c r="J684" t="str">
        <f t="shared" si="31"/>
        <v>Excellent</v>
      </c>
      <c r="K684" t="str">
        <f t="shared" si="32"/>
        <v>Pass</v>
      </c>
    </row>
    <row r="685" spans="1:11" x14ac:dyDescent="0.25">
      <c r="A685" t="s">
        <v>8</v>
      </c>
      <c r="B685" t="s">
        <v>23</v>
      </c>
      <c r="C685" t="s">
        <v>10</v>
      </c>
      <c r="D685" t="s">
        <v>16</v>
      </c>
      <c r="E685" t="s">
        <v>17</v>
      </c>
      <c r="F685" s="1">
        <v>69</v>
      </c>
      <c r="G685" s="1">
        <v>71</v>
      </c>
      <c r="H685" s="1">
        <v>62</v>
      </c>
      <c r="I685" s="1">
        <f t="shared" si="30"/>
        <v>67.333333333333329</v>
      </c>
      <c r="J685" t="str">
        <f t="shared" si="31"/>
        <v>Good</v>
      </c>
      <c r="K685" t="str">
        <f t="shared" si="32"/>
        <v>Pass</v>
      </c>
    </row>
    <row r="686" spans="1:11" x14ac:dyDescent="0.25">
      <c r="A686" t="s">
        <v>8</v>
      </c>
      <c r="B686" t="s">
        <v>23</v>
      </c>
      <c r="C686" t="s">
        <v>21</v>
      </c>
      <c r="D686" t="s">
        <v>16</v>
      </c>
      <c r="E686" t="s">
        <v>17</v>
      </c>
      <c r="F686" s="1">
        <v>69</v>
      </c>
      <c r="G686" s="1">
        <v>77</v>
      </c>
      <c r="H686" s="1">
        <v>70</v>
      </c>
      <c r="I686" s="1">
        <f t="shared" si="30"/>
        <v>72</v>
      </c>
      <c r="J686" t="str">
        <f t="shared" si="31"/>
        <v>Good</v>
      </c>
      <c r="K686" t="str">
        <f t="shared" si="32"/>
        <v>Pass</v>
      </c>
    </row>
    <row r="687" spans="1:11" x14ac:dyDescent="0.25">
      <c r="A687" t="s">
        <v>8</v>
      </c>
      <c r="B687" t="s">
        <v>14</v>
      </c>
      <c r="C687" t="s">
        <v>10</v>
      </c>
      <c r="D687" t="s">
        <v>11</v>
      </c>
      <c r="E687" t="s">
        <v>12</v>
      </c>
      <c r="F687" s="1">
        <v>58</v>
      </c>
      <c r="G687" s="1">
        <v>56</v>
      </c>
      <c r="H687" s="1">
        <v>56</v>
      </c>
      <c r="I687" s="1">
        <f t="shared" si="30"/>
        <v>56.666666666666664</v>
      </c>
      <c r="J687" t="str">
        <f t="shared" si="31"/>
        <v>Average</v>
      </c>
      <c r="K687" t="str">
        <f t="shared" si="32"/>
        <v>Pass</v>
      </c>
    </row>
    <row r="688" spans="1:11" x14ac:dyDescent="0.25">
      <c r="A688" t="s">
        <v>13</v>
      </c>
      <c r="B688" t="s">
        <v>20</v>
      </c>
      <c r="C688" t="s">
        <v>19</v>
      </c>
      <c r="D688" t="s">
        <v>16</v>
      </c>
      <c r="E688" t="s">
        <v>12</v>
      </c>
      <c r="F688" s="1">
        <v>47</v>
      </c>
      <c r="G688" s="1">
        <v>69</v>
      </c>
      <c r="H688" s="1">
        <v>62</v>
      </c>
      <c r="I688" s="1">
        <f t="shared" si="30"/>
        <v>59.333333333333336</v>
      </c>
      <c r="J688" t="str">
        <f t="shared" si="31"/>
        <v>Average</v>
      </c>
      <c r="K688" t="str">
        <f t="shared" si="32"/>
        <v>Pass</v>
      </c>
    </row>
    <row r="689" spans="1:11" x14ac:dyDescent="0.25">
      <c r="A689" t="s">
        <v>8</v>
      </c>
      <c r="B689" t="s">
        <v>14</v>
      </c>
      <c r="C689" t="s">
        <v>21</v>
      </c>
      <c r="D689" t="s">
        <v>11</v>
      </c>
      <c r="E689" t="s">
        <v>12</v>
      </c>
      <c r="F689" s="1">
        <v>78</v>
      </c>
      <c r="G689" s="1">
        <v>69</v>
      </c>
      <c r="H689" s="1">
        <v>71</v>
      </c>
      <c r="I689" s="1">
        <f t="shared" si="30"/>
        <v>72.666666666666671</v>
      </c>
      <c r="J689" t="str">
        <f t="shared" si="31"/>
        <v>Good</v>
      </c>
      <c r="K689" t="str">
        <f t="shared" si="32"/>
        <v>Pass</v>
      </c>
    </row>
    <row r="690" spans="1:11" x14ac:dyDescent="0.25">
      <c r="A690" t="s">
        <v>13</v>
      </c>
      <c r="B690" t="s">
        <v>20</v>
      </c>
      <c r="C690" t="s">
        <v>19</v>
      </c>
      <c r="D690" t="s">
        <v>16</v>
      </c>
      <c r="E690" t="s">
        <v>12</v>
      </c>
      <c r="F690" s="1">
        <v>54</v>
      </c>
      <c r="G690" s="1">
        <v>61</v>
      </c>
      <c r="H690" s="1">
        <v>71</v>
      </c>
      <c r="I690" s="1">
        <f t="shared" si="30"/>
        <v>62</v>
      </c>
      <c r="J690" t="str">
        <f t="shared" si="31"/>
        <v>Good</v>
      </c>
      <c r="K690" t="str">
        <f t="shared" si="32"/>
        <v>Pass</v>
      </c>
    </row>
    <row r="691" spans="1:11" x14ac:dyDescent="0.25">
      <c r="A691" t="s">
        <v>8</v>
      </c>
      <c r="B691" t="s">
        <v>23</v>
      </c>
      <c r="C691" t="s">
        <v>19</v>
      </c>
      <c r="D691" t="s">
        <v>16</v>
      </c>
      <c r="E691" t="s">
        <v>17</v>
      </c>
      <c r="F691" s="1">
        <v>36</v>
      </c>
      <c r="G691" s="1">
        <v>27</v>
      </c>
      <c r="H691" s="1">
        <v>26</v>
      </c>
      <c r="I691" s="1">
        <f t="shared" si="30"/>
        <v>29.666666666666668</v>
      </c>
      <c r="J691" t="str">
        <f t="shared" si="31"/>
        <v>Poor</v>
      </c>
      <c r="K691" t="str">
        <f t="shared" si="32"/>
        <v>Fail</v>
      </c>
    </row>
    <row r="692" spans="1:11" x14ac:dyDescent="0.25">
      <c r="A692" t="s">
        <v>8</v>
      </c>
      <c r="B692" t="s">
        <v>20</v>
      </c>
      <c r="C692" t="s">
        <v>22</v>
      </c>
      <c r="D692" t="s">
        <v>11</v>
      </c>
      <c r="E692" t="s">
        <v>12</v>
      </c>
      <c r="F692" s="1">
        <v>94</v>
      </c>
      <c r="G692" s="1">
        <v>92</v>
      </c>
      <c r="H692" s="1">
        <v>92</v>
      </c>
      <c r="I692" s="1">
        <f t="shared" si="30"/>
        <v>92.666666666666671</v>
      </c>
      <c r="J692" t="str">
        <f t="shared" si="31"/>
        <v>Excellent</v>
      </c>
      <c r="K692" t="str">
        <f t="shared" si="32"/>
        <v>Pass</v>
      </c>
    </row>
    <row r="693" spans="1:11" x14ac:dyDescent="0.25">
      <c r="A693" t="s">
        <v>13</v>
      </c>
      <c r="B693" t="s">
        <v>14</v>
      </c>
      <c r="C693" t="s">
        <v>21</v>
      </c>
      <c r="D693" t="s">
        <v>16</v>
      </c>
      <c r="E693" t="s">
        <v>17</v>
      </c>
      <c r="F693" s="1">
        <v>68</v>
      </c>
      <c r="G693" s="1">
        <v>84</v>
      </c>
      <c r="H693" s="1">
        <v>80</v>
      </c>
      <c r="I693" s="1">
        <f t="shared" si="30"/>
        <v>77.333333333333329</v>
      </c>
      <c r="J693" t="str">
        <f t="shared" si="31"/>
        <v>Good</v>
      </c>
      <c r="K693" t="str">
        <f t="shared" si="32"/>
        <v>Pass</v>
      </c>
    </row>
    <row r="694" spans="1:11" x14ac:dyDescent="0.25">
      <c r="A694" t="s">
        <v>13</v>
      </c>
      <c r="B694" t="s">
        <v>18</v>
      </c>
      <c r="C694" t="s">
        <v>10</v>
      </c>
      <c r="D694" t="s">
        <v>11</v>
      </c>
      <c r="E694" t="s">
        <v>17</v>
      </c>
      <c r="F694" s="1">
        <v>90</v>
      </c>
      <c r="G694" s="1">
        <v>88</v>
      </c>
      <c r="H694" s="1">
        <v>84</v>
      </c>
      <c r="I694" s="1">
        <f t="shared" si="30"/>
        <v>87.333333333333329</v>
      </c>
      <c r="J694" t="str">
        <f t="shared" si="31"/>
        <v>Excellent</v>
      </c>
      <c r="K694" t="str">
        <f t="shared" si="32"/>
        <v>Pass</v>
      </c>
    </row>
    <row r="695" spans="1:11" x14ac:dyDescent="0.25">
      <c r="A695" t="s">
        <v>8</v>
      </c>
      <c r="B695" t="s">
        <v>9</v>
      </c>
      <c r="C695" t="s">
        <v>19</v>
      </c>
      <c r="D695" t="s">
        <v>11</v>
      </c>
      <c r="E695" t="s">
        <v>17</v>
      </c>
      <c r="F695" s="1">
        <v>57</v>
      </c>
      <c r="G695" s="1">
        <v>57</v>
      </c>
      <c r="H695" s="1">
        <v>53</v>
      </c>
      <c r="I695" s="1">
        <f t="shared" si="30"/>
        <v>55.666666666666664</v>
      </c>
      <c r="J695" t="str">
        <f t="shared" si="31"/>
        <v>Average</v>
      </c>
      <c r="K695" t="str">
        <f t="shared" si="32"/>
        <v>Pass</v>
      </c>
    </row>
    <row r="696" spans="1:11" x14ac:dyDescent="0.25">
      <c r="A696" t="s">
        <v>8</v>
      </c>
      <c r="B696" t="s">
        <v>14</v>
      </c>
      <c r="C696" t="s">
        <v>19</v>
      </c>
      <c r="D696" t="s">
        <v>11</v>
      </c>
      <c r="E696" t="s">
        <v>12</v>
      </c>
      <c r="F696" s="1">
        <v>96</v>
      </c>
      <c r="G696" s="1">
        <v>95</v>
      </c>
      <c r="H696" s="1">
        <v>90</v>
      </c>
      <c r="I696" s="1">
        <f t="shared" si="30"/>
        <v>93.666666666666671</v>
      </c>
      <c r="J696" t="str">
        <f t="shared" si="31"/>
        <v>Excellent</v>
      </c>
      <c r="K696" t="str">
        <f t="shared" si="32"/>
        <v>Pass</v>
      </c>
    </row>
    <row r="697" spans="1:11" x14ac:dyDescent="0.25">
      <c r="A697" t="s">
        <v>8</v>
      </c>
      <c r="B697" t="s">
        <v>20</v>
      </c>
      <c r="C697" t="s">
        <v>15</v>
      </c>
      <c r="D697" t="s">
        <v>11</v>
      </c>
      <c r="E697" t="s">
        <v>12</v>
      </c>
      <c r="F697" s="1">
        <v>68</v>
      </c>
      <c r="G697" s="1">
        <v>63</v>
      </c>
      <c r="H697" s="1">
        <v>62</v>
      </c>
      <c r="I697" s="1">
        <f t="shared" si="30"/>
        <v>64.333333333333329</v>
      </c>
      <c r="J697" t="str">
        <f t="shared" si="31"/>
        <v>Good</v>
      </c>
      <c r="K697" t="str">
        <f t="shared" si="32"/>
        <v>Pass</v>
      </c>
    </row>
    <row r="698" spans="1:11" x14ac:dyDescent="0.25">
      <c r="A698" t="s">
        <v>13</v>
      </c>
      <c r="B698" t="s">
        <v>23</v>
      </c>
      <c r="C698" t="s">
        <v>15</v>
      </c>
      <c r="D698" t="s">
        <v>11</v>
      </c>
      <c r="E698" t="s">
        <v>12</v>
      </c>
      <c r="F698" s="1">
        <v>52</v>
      </c>
      <c r="G698" s="1">
        <v>64</v>
      </c>
      <c r="H698" s="1">
        <v>63</v>
      </c>
      <c r="I698" s="1">
        <f t="shared" si="30"/>
        <v>59.666666666666664</v>
      </c>
      <c r="J698" t="str">
        <f t="shared" si="31"/>
        <v>Average</v>
      </c>
      <c r="K698" t="str">
        <f t="shared" si="32"/>
        <v>Pass</v>
      </c>
    </row>
    <row r="699" spans="1:11" x14ac:dyDescent="0.25">
      <c r="A699" t="s">
        <v>8</v>
      </c>
      <c r="B699" t="s">
        <v>18</v>
      </c>
      <c r="C699" t="s">
        <v>21</v>
      </c>
      <c r="D699" t="s">
        <v>11</v>
      </c>
      <c r="E699" t="s">
        <v>17</v>
      </c>
      <c r="F699" s="1">
        <v>90</v>
      </c>
      <c r="G699" s="1">
        <v>76</v>
      </c>
      <c r="H699" s="1">
        <v>73</v>
      </c>
      <c r="I699" s="1">
        <f t="shared" si="30"/>
        <v>79.666666666666671</v>
      </c>
      <c r="J699" t="str">
        <f t="shared" si="31"/>
        <v>Good</v>
      </c>
      <c r="K699" t="str">
        <f t="shared" si="32"/>
        <v>Pass</v>
      </c>
    </row>
    <row r="700" spans="1:11" x14ac:dyDescent="0.25">
      <c r="A700" t="s">
        <v>8</v>
      </c>
      <c r="B700" t="s">
        <v>23</v>
      </c>
      <c r="C700" t="s">
        <v>19</v>
      </c>
      <c r="D700" t="s">
        <v>16</v>
      </c>
      <c r="E700" t="s">
        <v>12</v>
      </c>
      <c r="F700" s="1">
        <v>71</v>
      </c>
      <c r="G700" s="1">
        <v>82</v>
      </c>
      <c r="H700" s="1">
        <v>75</v>
      </c>
      <c r="I700" s="1">
        <f t="shared" si="30"/>
        <v>76</v>
      </c>
      <c r="J700" t="str">
        <f t="shared" si="31"/>
        <v>Good</v>
      </c>
      <c r="K700" t="str">
        <f t="shared" si="32"/>
        <v>Pass</v>
      </c>
    </row>
    <row r="701" spans="1:11" x14ac:dyDescent="0.25">
      <c r="A701" t="s">
        <v>13</v>
      </c>
      <c r="B701" t="s">
        <v>23</v>
      </c>
      <c r="C701" t="s">
        <v>19</v>
      </c>
      <c r="D701" t="s">
        <v>16</v>
      </c>
      <c r="E701" t="s">
        <v>12</v>
      </c>
      <c r="F701" s="1">
        <v>58</v>
      </c>
      <c r="G701" s="1">
        <v>69</v>
      </c>
      <c r="H701" s="1">
        <v>74</v>
      </c>
      <c r="I701" s="1">
        <f t="shared" si="30"/>
        <v>67</v>
      </c>
      <c r="J701" t="str">
        <f t="shared" si="31"/>
        <v>Good</v>
      </c>
      <c r="K701" t="str">
        <f t="shared" si="32"/>
        <v>Pass</v>
      </c>
    </row>
    <row r="702" spans="1:11" x14ac:dyDescent="0.25">
      <c r="A702" t="s">
        <v>8</v>
      </c>
      <c r="B702" t="s">
        <v>23</v>
      </c>
      <c r="C702" t="s">
        <v>15</v>
      </c>
      <c r="D702" t="s">
        <v>16</v>
      </c>
      <c r="E702" t="s">
        <v>17</v>
      </c>
      <c r="F702" s="1">
        <v>41</v>
      </c>
      <c r="G702" s="1">
        <v>39</v>
      </c>
      <c r="H702" s="1">
        <v>34</v>
      </c>
      <c r="I702" s="1">
        <f t="shared" si="30"/>
        <v>38</v>
      </c>
      <c r="J702" t="str">
        <f t="shared" si="31"/>
        <v>Poor</v>
      </c>
      <c r="K702" t="str">
        <f t="shared" si="32"/>
        <v>Fail</v>
      </c>
    </row>
    <row r="703" spans="1:11" x14ac:dyDescent="0.25">
      <c r="A703" t="s">
        <v>8</v>
      </c>
      <c r="B703" t="s">
        <v>14</v>
      </c>
      <c r="C703" t="s">
        <v>15</v>
      </c>
      <c r="D703" t="s">
        <v>11</v>
      </c>
      <c r="E703" t="s">
        <v>12</v>
      </c>
      <c r="F703" s="1">
        <v>43</v>
      </c>
      <c r="G703" s="1">
        <v>37</v>
      </c>
      <c r="H703" s="1">
        <v>43</v>
      </c>
      <c r="I703" s="1">
        <f t="shared" si="30"/>
        <v>41</v>
      </c>
      <c r="J703" t="str">
        <f t="shared" si="31"/>
        <v>Average</v>
      </c>
      <c r="K703" t="str">
        <f t="shared" si="32"/>
        <v>Pass</v>
      </c>
    </row>
    <row r="704" spans="1:11" x14ac:dyDescent="0.25">
      <c r="A704" t="s">
        <v>8</v>
      </c>
      <c r="B704" t="s">
        <v>14</v>
      </c>
      <c r="C704" t="s">
        <v>10</v>
      </c>
      <c r="D704" t="s">
        <v>11</v>
      </c>
      <c r="E704" t="s">
        <v>17</v>
      </c>
      <c r="F704" s="1">
        <v>85</v>
      </c>
      <c r="G704" s="1">
        <v>70</v>
      </c>
      <c r="H704" s="1">
        <v>71</v>
      </c>
      <c r="I704" s="1">
        <f t="shared" si="30"/>
        <v>75.333333333333329</v>
      </c>
      <c r="J704" t="str">
        <f t="shared" si="31"/>
        <v>Good</v>
      </c>
      <c r="K704" t="str">
        <f t="shared" si="32"/>
        <v>Pass</v>
      </c>
    </row>
    <row r="705" spans="1:11" x14ac:dyDescent="0.25">
      <c r="A705" t="s">
        <v>8</v>
      </c>
      <c r="B705" t="s">
        <v>20</v>
      </c>
      <c r="C705" t="s">
        <v>15</v>
      </c>
      <c r="D705" t="s">
        <v>11</v>
      </c>
      <c r="E705" t="s">
        <v>17</v>
      </c>
      <c r="F705" s="1">
        <v>71</v>
      </c>
      <c r="G705" s="1">
        <v>72</v>
      </c>
      <c r="H705" s="1">
        <v>69</v>
      </c>
      <c r="I705" s="1">
        <f t="shared" si="30"/>
        <v>70.666666666666671</v>
      </c>
      <c r="J705" t="str">
        <f t="shared" si="31"/>
        <v>Good</v>
      </c>
      <c r="K705" t="str">
        <f t="shared" si="32"/>
        <v>Pass</v>
      </c>
    </row>
    <row r="706" spans="1:11" x14ac:dyDescent="0.25">
      <c r="A706" t="s">
        <v>13</v>
      </c>
      <c r="B706" t="s">
        <v>9</v>
      </c>
      <c r="C706" t="s">
        <v>10</v>
      </c>
      <c r="D706" t="s">
        <v>11</v>
      </c>
      <c r="E706" t="s">
        <v>17</v>
      </c>
      <c r="F706" s="1">
        <v>72</v>
      </c>
      <c r="G706" s="1">
        <v>70</v>
      </c>
      <c r="H706" s="1">
        <v>72</v>
      </c>
      <c r="I706" s="1">
        <f t="shared" ref="I706:I769" si="33">AVERAGE(F706:H706)</f>
        <v>71.333333333333329</v>
      </c>
      <c r="J706" t="str">
        <f t="shared" ref="J706:J769" si="34">IF(I706&gt;=80,"Excellent", IF(I706&gt;=60,"Good", IF(I706&gt;=40,"Average","Poor")))</f>
        <v>Good</v>
      </c>
      <c r="K706" t="str">
        <f t="shared" ref="K706:K769" si="35">IF(I706&gt;=40, "Pass","Fail")</f>
        <v>Pass</v>
      </c>
    </row>
    <row r="707" spans="1:11" x14ac:dyDescent="0.25">
      <c r="A707" t="s">
        <v>8</v>
      </c>
      <c r="B707" t="s">
        <v>14</v>
      </c>
      <c r="C707" t="s">
        <v>21</v>
      </c>
      <c r="D707" t="s">
        <v>16</v>
      </c>
      <c r="E707" t="s">
        <v>17</v>
      </c>
      <c r="F707" s="1">
        <v>70</v>
      </c>
      <c r="G707" s="1">
        <v>62</v>
      </c>
      <c r="H707" s="1">
        <v>66</v>
      </c>
      <c r="I707" s="1">
        <f t="shared" si="33"/>
        <v>66</v>
      </c>
      <c r="J707" t="str">
        <f t="shared" si="34"/>
        <v>Good</v>
      </c>
      <c r="K707" t="str">
        <f t="shared" si="35"/>
        <v>Pass</v>
      </c>
    </row>
    <row r="708" spans="1:11" x14ac:dyDescent="0.25">
      <c r="A708" t="s">
        <v>13</v>
      </c>
      <c r="B708" t="s">
        <v>14</v>
      </c>
      <c r="C708" t="s">
        <v>22</v>
      </c>
      <c r="D708" t="s">
        <v>11</v>
      </c>
      <c r="E708" t="s">
        <v>17</v>
      </c>
      <c r="F708" s="1">
        <v>89</v>
      </c>
      <c r="G708" s="1">
        <v>100</v>
      </c>
      <c r="H708" s="1">
        <v>100</v>
      </c>
      <c r="I708" s="1">
        <f t="shared" si="33"/>
        <v>96.333333333333329</v>
      </c>
      <c r="J708" t="str">
        <f t="shared" si="34"/>
        <v>Excellent</v>
      </c>
      <c r="K708" t="str">
        <f t="shared" si="35"/>
        <v>Pass</v>
      </c>
    </row>
    <row r="709" spans="1:11" x14ac:dyDescent="0.25">
      <c r="A709" t="s">
        <v>13</v>
      </c>
      <c r="B709" t="s">
        <v>18</v>
      </c>
      <c r="C709" t="s">
        <v>10</v>
      </c>
      <c r="D709" t="s">
        <v>11</v>
      </c>
      <c r="E709" t="s">
        <v>17</v>
      </c>
      <c r="F709" s="1">
        <v>92</v>
      </c>
      <c r="G709" s="1">
        <v>86</v>
      </c>
      <c r="H709" s="1">
        <v>82</v>
      </c>
      <c r="I709" s="1">
        <f t="shared" si="33"/>
        <v>86.666666666666671</v>
      </c>
      <c r="J709" t="str">
        <f t="shared" si="34"/>
        <v>Excellent</v>
      </c>
      <c r="K709" t="str">
        <f t="shared" si="35"/>
        <v>Pass</v>
      </c>
    </row>
    <row r="710" spans="1:11" x14ac:dyDescent="0.25">
      <c r="A710" t="s">
        <v>8</v>
      </c>
      <c r="B710" t="s">
        <v>18</v>
      </c>
      <c r="C710" t="s">
        <v>19</v>
      </c>
      <c r="D710" t="s">
        <v>16</v>
      </c>
      <c r="E710" t="s">
        <v>12</v>
      </c>
      <c r="F710" s="1">
        <v>80</v>
      </c>
      <c r="G710" s="1">
        <v>79</v>
      </c>
      <c r="H710" s="1">
        <v>81</v>
      </c>
      <c r="I710" s="1">
        <f t="shared" si="33"/>
        <v>80</v>
      </c>
      <c r="J710" t="str">
        <f t="shared" si="34"/>
        <v>Excellent</v>
      </c>
      <c r="K710" t="str">
        <f t="shared" si="35"/>
        <v>Pass</v>
      </c>
    </row>
    <row r="711" spans="1:11" x14ac:dyDescent="0.25">
      <c r="A711" t="s">
        <v>8</v>
      </c>
      <c r="B711" t="s">
        <v>23</v>
      </c>
      <c r="C711" t="s">
        <v>15</v>
      </c>
      <c r="D711" t="s">
        <v>11</v>
      </c>
      <c r="E711" t="s">
        <v>17</v>
      </c>
      <c r="F711" s="1">
        <v>80</v>
      </c>
      <c r="G711" s="1">
        <v>70</v>
      </c>
      <c r="H711" s="1">
        <v>60</v>
      </c>
      <c r="I711" s="1">
        <f t="shared" si="33"/>
        <v>70</v>
      </c>
      <c r="J711" t="str">
        <f t="shared" si="34"/>
        <v>Good</v>
      </c>
      <c r="K711" t="str">
        <f t="shared" si="35"/>
        <v>Pass</v>
      </c>
    </row>
    <row r="712" spans="1:11" x14ac:dyDescent="0.25">
      <c r="A712" t="s">
        <v>13</v>
      </c>
      <c r="B712" t="s">
        <v>20</v>
      </c>
      <c r="C712" t="s">
        <v>10</v>
      </c>
      <c r="D712" t="s">
        <v>11</v>
      </c>
      <c r="E712" t="s">
        <v>17</v>
      </c>
      <c r="F712" s="1">
        <v>56</v>
      </c>
      <c r="G712" s="1">
        <v>64</v>
      </c>
      <c r="H712" s="1">
        <v>59</v>
      </c>
      <c r="I712" s="1">
        <f t="shared" si="33"/>
        <v>59.666666666666664</v>
      </c>
      <c r="J712" t="str">
        <f t="shared" si="34"/>
        <v>Average</v>
      </c>
      <c r="K712" t="str">
        <f t="shared" si="35"/>
        <v>Pass</v>
      </c>
    </row>
    <row r="713" spans="1:11" x14ac:dyDescent="0.25">
      <c r="A713" t="s">
        <v>8</v>
      </c>
      <c r="B713" t="s">
        <v>18</v>
      </c>
      <c r="C713" t="s">
        <v>10</v>
      </c>
      <c r="D713" t="s">
        <v>16</v>
      </c>
      <c r="E713" t="s">
        <v>17</v>
      </c>
      <c r="F713" s="1">
        <v>93</v>
      </c>
      <c r="G713" s="1">
        <v>86</v>
      </c>
      <c r="H713" s="1">
        <v>73</v>
      </c>
      <c r="I713" s="1">
        <f t="shared" si="33"/>
        <v>84</v>
      </c>
      <c r="J713" t="str">
        <f t="shared" si="34"/>
        <v>Excellent</v>
      </c>
      <c r="K713" t="str">
        <f t="shared" si="35"/>
        <v>Pass</v>
      </c>
    </row>
    <row r="714" spans="1:11" x14ac:dyDescent="0.25">
      <c r="A714" t="s">
        <v>8</v>
      </c>
      <c r="B714" t="s">
        <v>23</v>
      </c>
      <c r="C714" t="s">
        <v>21</v>
      </c>
      <c r="D714" t="s">
        <v>16</v>
      </c>
      <c r="E714" t="s">
        <v>12</v>
      </c>
      <c r="F714" s="1">
        <v>49</v>
      </c>
      <c r="G714" s="1">
        <v>37</v>
      </c>
      <c r="H714" s="1">
        <v>41</v>
      </c>
      <c r="I714" s="1">
        <f t="shared" si="33"/>
        <v>42.333333333333336</v>
      </c>
      <c r="J714" t="str">
        <f t="shared" si="34"/>
        <v>Average</v>
      </c>
      <c r="K714" t="str">
        <f t="shared" si="35"/>
        <v>Pass</v>
      </c>
    </row>
    <row r="715" spans="1:11" x14ac:dyDescent="0.25">
      <c r="A715" t="s">
        <v>13</v>
      </c>
      <c r="B715" t="s">
        <v>18</v>
      </c>
      <c r="C715" t="s">
        <v>24</v>
      </c>
      <c r="D715" t="s">
        <v>11</v>
      </c>
      <c r="E715" t="s">
        <v>17</v>
      </c>
      <c r="F715" s="1">
        <v>59</v>
      </c>
      <c r="G715" s="1">
        <v>57</v>
      </c>
      <c r="H715" s="1">
        <v>58</v>
      </c>
      <c r="I715" s="1">
        <f t="shared" si="33"/>
        <v>58</v>
      </c>
      <c r="J715" t="str">
        <f t="shared" si="34"/>
        <v>Average</v>
      </c>
      <c r="K715" t="str">
        <f t="shared" si="35"/>
        <v>Pass</v>
      </c>
    </row>
    <row r="716" spans="1:11" x14ac:dyDescent="0.25">
      <c r="A716" t="s">
        <v>13</v>
      </c>
      <c r="B716" t="s">
        <v>23</v>
      </c>
      <c r="C716" t="s">
        <v>15</v>
      </c>
      <c r="D716" t="s">
        <v>11</v>
      </c>
      <c r="E716" t="s">
        <v>12</v>
      </c>
      <c r="F716" s="1">
        <v>64</v>
      </c>
      <c r="G716" s="1">
        <v>74</v>
      </c>
      <c r="H716" s="1">
        <v>75</v>
      </c>
      <c r="I716" s="1">
        <f t="shared" si="33"/>
        <v>71</v>
      </c>
      <c r="J716" t="str">
        <f t="shared" si="34"/>
        <v>Good</v>
      </c>
      <c r="K716" t="str">
        <f t="shared" si="35"/>
        <v>Pass</v>
      </c>
    </row>
    <row r="717" spans="1:11" x14ac:dyDescent="0.25">
      <c r="A717" t="s">
        <v>8</v>
      </c>
      <c r="B717" t="s">
        <v>14</v>
      </c>
      <c r="C717" t="s">
        <v>15</v>
      </c>
      <c r="D717" t="s">
        <v>11</v>
      </c>
      <c r="E717" t="s">
        <v>17</v>
      </c>
      <c r="F717" s="1">
        <v>73</v>
      </c>
      <c r="G717" s="1">
        <v>66</v>
      </c>
      <c r="H717" s="1">
        <v>59</v>
      </c>
      <c r="I717" s="1">
        <f t="shared" si="33"/>
        <v>66</v>
      </c>
      <c r="J717" t="str">
        <f t="shared" si="34"/>
        <v>Good</v>
      </c>
      <c r="K717" t="str">
        <f t="shared" si="35"/>
        <v>Pass</v>
      </c>
    </row>
    <row r="718" spans="1:11" x14ac:dyDescent="0.25">
      <c r="A718" t="s">
        <v>13</v>
      </c>
      <c r="B718" t="s">
        <v>20</v>
      </c>
      <c r="C718" t="s">
        <v>19</v>
      </c>
      <c r="D718" t="s">
        <v>11</v>
      </c>
      <c r="E718" t="s">
        <v>12</v>
      </c>
      <c r="F718" s="1">
        <v>82</v>
      </c>
      <c r="G718" s="1">
        <v>86</v>
      </c>
      <c r="H718" s="1">
        <v>90</v>
      </c>
      <c r="I718" s="1">
        <f t="shared" si="33"/>
        <v>86</v>
      </c>
      <c r="J718" t="str">
        <f t="shared" si="34"/>
        <v>Excellent</v>
      </c>
      <c r="K718" t="str">
        <f t="shared" si="35"/>
        <v>Pass</v>
      </c>
    </row>
    <row r="719" spans="1:11" x14ac:dyDescent="0.25">
      <c r="A719" t="s">
        <v>8</v>
      </c>
      <c r="B719" t="s">
        <v>14</v>
      </c>
      <c r="C719" t="s">
        <v>10</v>
      </c>
      <c r="D719" t="s">
        <v>16</v>
      </c>
      <c r="E719" t="s">
        <v>17</v>
      </c>
      <c r="F719" s="1">
        <v>48</v>
      </c>
      <c r="G719" s="1">
        <v>43</v>
      </c>
      <c r="H719" s="1">
        <v>41</v>
      </c>
      <c r="I719" s="1">
        <f t="shared" si="33"/>
        <v>44</v>
      </c>
      <c r="J719" t="str">
        <f t="shared" si="34"/>
        <v>Average</v>
      </c>
      <c r="K719" t="str">
        <f t="shared" si="35"/>
        <v>Pass</v>
      </c>
    </row>
    <row r="720" spans="1:11" x14ac:dyDescent="0.25">
      <c r="A720" t="s">
        <v>13</v>
      </c>
      <c r="B720" t="s">
        <v>9</v>
      </c>
      <c r="C720" t="s">
        <v>15</v>
      </c>
      <c r="D720" t="s">
        <v>16</v>
      </c>
      <c r="E720" t="s">
        <v>12</v>
      </c>
      <c r="F720" s="1">
        <v>51</v>
      </c>
      <c r="G720" s="1">
        <v>64</v>
      </c>
      <c r="H720" s="1">
        <v>62</v>
      </c>
      <c r="I720" s="1">
        <f t="shared" si="33"/>
        <v>59</v>
      </c>
      <c r="J720" t="str">
        <f t="shared" si="34"/>
        <v>Average</v>
      </c>
      <c r="K720" t="str">
        <f t="shared" si="35"/>
        <v>Pass</v>
      </c>
    </row>
    <row r="721" spans="1:11" x14ac:dyDescent="0.25">
      <c r="A721" t="s">
        <v>13</v>
      </c>
      <c r="B721" t="s">
        <v>18</v>
      </c>
      <c r="C721" t="s">
        <v>15</v>
      </c>
      <c r="D721" t="s">
        <v>16</v>
      </c>
      <c r="E721" t="s">
        <v>12</v>
      </c>
      <c r="F721" s="1">
        <v>38</v>
      </c>
      <c r="G721" s="1">
        <v>46</v>
      </c>
      <c r="H721" s="1">
        <v>43</v>
      </c>
      <c r="I721" s="1">
        <f t="shared" si="33"/>
        <v>42.333333333333336</v>
      </c>
      <c r="J721" t="str">
        <f t="shared" si="34"/>
        <v>Average</v>
      </c>
      <c r="K721" t="str">
        <f t="shared" si="35"/>
        <v>Pass</v>
      </c>
    </row>
    <row r="722" spans="1:11" x14ac:dyDescent="0.25">
      <c r="A722" t="s">
        <v>8</v>
      </c>
      <c r="B722" t="s">
        <v>20</v>
      </c>
      <c r="C722" t="s">
        <v>19</v>
      </c>
      <c r="D722" t="s">
        <v>16</v>
      </c>
      <c r="E722" t="s">
        <v>17</v>
      </c>
      <c r="F722" s="1">
        <v>45</v>
      </c>
      <c r="G722" s="1">
        <v>50</v>
      </c>
      <c r="H722" s="1">
        <v>42</v>
      </c>
      <c r="I722" s="1">
        <f t="shared" si="33"/>
        <v>45.666666666666664</v>
      </c>
      <c r="J722" t="str">
        <f t="shared" si="34"/>
        <v>Average</v>
      </c>
      <c r="K722" t="str">
        <f t="shared" si="35"/>
        <v>Pass</v>
      </c>
    </row>
    <row r="723" spans="1:11" x14ac:dyDescent="0.25">
      <c r="A723" t="s">
        <v>13</v>
      </c>
      <c r="B723" t="s">
        <v>9</v>
      </c>
      <c r="C723" t="s">
        <v>19</v>
      </c>
      <c r="D723" t="s">
        <v>11</v>
      </c>
      <c r="E723" t="s">
        <v>12</v>
      </c>
      <c r="F723" s="1">
        <v>83</v>
      </c>
      <c r="G723" s="1">
        <v>92</v>
      </c>
      <c r="H723" s="1">
        <v>95</v>
      </c>
      <c r="I723" s="1">
        <f t="shared" si="33"/>
        <v>90</v>
      </c>
      <c r="J723" t="str">
        <f t="shared" si="34"/>
        <v>Excellent</v>
      </c>
      <c r="K723" t="str">
        <f t="shared" si="35"/>
        <v>Pass</v>
      </c>
    </row>
    <row r="724" spans="1:11" x14ac:dyDescent="0.25">
      <c r="A724" t="s">
        <v>13</v>
      </c>
      <c r="B724" t="s">
        <v>20</v>
      </c>
      <c r="C724" t="s">
        <v>15</v>
      </c>
      <c r="D724" t="s">
        <v>11</v>
      </c>
      <c r="E724" t="s">
        <v>12</v>
      </c>
      <c r="F724" s="1">
        <v>45</v>
      </c>
      <c r="G724" s="1">
        <v>57</v>
      </c>
      <c r="H724" s="1">
        <v>56</v>
      </c>
      <c r="I724" s="1">
        <f t="shared" si="33"/>
        <v>52.666666666666664</v>
      </c>
      <c r="J724" t="str">
        <f t="shared" si="34"/>
        <v>Average</v>
      </c>
      <c r="K724" t="str">
        <f t="shared" si="35"/>
        <v>Pass</v>
      </c>
    </row>
    <row r="725" spans="1:11" x14ac:dyDescent="0.25">
      <c r="A725" t="s">
        <v>8</v>
      </c>
      <c r="B725" t="s">
        <v>14</v>
      </c>
      <c r="C725" t="s">
        <v>10</v>
      </c>
      <c r="D725" t="s">
        <v>16</v>
      </c>
      <c r="E725" t="s">
        <v>17</v>
      </c>
      <c r="F725" s="1">
        <v>66</v>
      </c>
      <c r="G725" s="1">
        <v>64</v>
      </c>
      <c r="H725" s="1">
        <v>62</v>
      </c>
      <c r="I725" s="1">
        <f t="shared" si="33"/>
        <v>64</v>
      </c>
      <c r="J725" t="str">
        <f t="shared" si="34"/>
        <v>Good</v>
      </c>
      <c r="K725" t="str">
        <f t="shared" si="35"/>
        <v>Pass</v>
      </c>
    </row>
    <row r="726" spans="1:11" x14ac:dyDescent="0.25">
      <c r="A726" t="s">
        <v>8</v>
      </c>
      <c r="B726" t="s">
        <v>14</v>
      </c>
      <c r="C726" t="s">
        <v>10</v>
      </c>
      <c r="D726" t="s">
        <v>16</v>
      </c>
      <c r="E726" t="s">
        <v>12</v>
      </c>
      <c r="F726" s="1">
        <v>60</v>
      </c>
      <c r="G726" s="1">
        <v>62</v>
      </c>
      <c r="H726" s="1">
        <v>57</v>
      </c>
      <c r="I726" s="1">
        <f t="shared" si="33"/>
        <v>59.666666666666664</v>
      </c>
      <c r="J726" t="str">
        <f t="shared" si="34"/>
        <v>Average</v>
      </c>
      <c r="K726" t="str">
        <f t="shared" si="35"/>
        <v>Pass</v>
      </c>
    </row>
    <row r="727" spans="1:11" x14ac:dyDescent="0.25">
      <c r="A727" t="s">
        <v>8</v>
      </c>
      <c r="B727" t="s">
        <v>23</v>
      </c>
      <c r="C727" t="s">
        <v>21</v>
      </c>
      <c r="D727" t="s">
        <v>11</v>
      </c>
      <c r="E727" t="s">
        <v>17</v>
      </c>
      <c r="F727" s="1">
        <v>49</v>
      </c>
      <c r="G727" s="1">
        <v>47</v>
      </c>
      <c r="H727" s="1">
        <v>49</v>
      </c>
      <c r="I727" s="1">
        <f t="shared" si="33"/>
        <v>48.333333333333336</v>
      </c>
      <c r="J727" t="str">
        <f t="shared" si="34"/>
        <v>Average</v>
      </c>
      <c r="K727" t="str">
        <f t="shared" si="35"/>
        <v>Pass</v>
      </c>
    </row>
    <row r="728" spans="1:11" x14ac:dyDescent="0.25">
      <c r="A728" t="s">
        <v>8</v>
      </c>
      <c r="B728" t="s">
        <v>14</v>
      </c>
      <c r="C728" t="s">
        <v>22</v>
      </c>
      <c r="D728" t="s">
        <v>11</v>
      </c>
      <c r="E728" t="s">
        <v>17</v>
      </c>
      <c r="F728" s="1">
        <v>80</v>
      </c>
      <c r="G728" s="1">
        <v>84</v>
      </c>
      <c r="H728" s="1">
        <v>86</v>
      </c>
      <c r="I728" s="1">
        <f t="shared" si="33"/>
        <v>83.333333333333329</v>
      </c>
      <c r="J728" t="str">
        <f t="shared" si="34"/>
        <v>Excellent</v>
      </c>
      <c r="K728" t="str">
        <f t="shared" si="35"/>
        <v>Pass</v>
      </c>
    </row>
    <row r="729" spans="1:11" x14ac:dyDescent="0.25">
      <c r="A729" t="s">
        <v>8</v>
      </c>
      <c r="B729" t="s">
        <v>18</v>
      </c>
      <c r="C729" t="s">
        <v>10</v>
      </c>
      <c r="D729" t="s">
        <v>11</v>
      </c>
      <c r="E729" t="s">
        <v>17</v>
      </c>
      <c r="F729" s="1">
        <v>75</v>
      </c>
      <c r="G729" s="1">
        <v>68</v>
      </c>
      <c r="H729" s="1">
        <v>66</v>
      </c>
      <c r="I729" s="1">
        <f t="shared" si="33"/>
        <v>69.666666666666671</v>
      </c>
      <c r="J729" t="str">
        <f t="shared" si="34"/>
        <v>Good</v>
      </c>
      <c r="K729" t="str">
        <f t="shared" si="35"/>
        <v>Pass</v>
      </c>
    </row>
    <row r="730" spans="1:11" x14ac:dyDescent="0.25">
      <c r="A730" t="s">
        <v>8</v>
      </c>
      <c r="B730" t="s">
        <v>20</v>
      </c>
      <c r="C730" t="s">
        <v>19</v>
      </c>
      <c r="D730" t="s">
        <v>16</v>
      </c>
      <c r="E730" t="s">
        <v>12</v>
      </c>
      <c r="F730" s="1">
        <v>57</v>
      </c>
      <c r="G730" s="1">
        <v>68</v>
      </c>
      <c r="H730" s="1">
        <v>61</v>
      </c>
      <c r="I730" s="1">
        <f t="shared" si="33"/>
        <v>62</v>
      </c>
      <c r="J730" t="str">
        <f t="shared" si="34"/>
        <v>Good</v>
      </c>
      <c r="K730" t="str">
        <f t="shared" si="35"/>
        <v>Pass</v>
      </c>
    </row>
    <row r="731" spans="1:11" x14ac:dyDescent="0.25">
      <c r="A731" t="s">
        <v>13</v>
      </c>
      <c r="B731" t="s">
        <v>20</v>
      </c>
      <c r="C731" t="s">
        <v>15</v>
      </c>
      <c r="D731" t="s">
        <v>16</v>
      </c>
      <c r="E731" t="s">
        <v>17</v>
      </c>
      <c r="F731" s="1">
        <v>25</v>
      </c>
      <c r="G731" s="1">
        <v>36</v>
      </c>
      <c r="H731" s="1">
        <v>37</v>
      </c>
      <c r="I731" s="1">
        <f t="shared" si="33"/>
        <v>32.666666666666664</v>
      </c>
      <c r="J731" t="str">
        <f t="shared" si="34"/>
        <v>Poor</v>
      </c>
      <c r="K731" t="str">
        <f t="shared" si="35"/>
        <v>Fail</v>
      </c>
    </row>
    <row r="732" spans="1:11" x14ac:dyDescent="0.25">
      <c r="A732" t="s">
        <v>8</v>
      </c>
      <c r="B732" t="s">
        <v>18</v>
      </c>
      <c r="C732" t="s">
        <v>19</v>
      </c>
      <c r="D732" t="s">
        <v>16</v>
      </c>
      <c r="E732" t="s">
        <v>17</v>
      </c>
      <c r="F732" s="1">
        <v>90</v>
      </c>
      <c r="G732" s="1">
        <v>87</v>
      </c>
      <c r="H732" s="1">
        <v>81</v>
      </c>
      <c r="I732" s="1">
        <f t="shared" si="33"/>
        <v>86</v>
      </c>
      <c r="J732" t="str">
        <f t="shared" si="34"/>
        <v>Excellent</v>
      </c>
      <c r="K732" t="str">
        <f t="shared" si="35"/>
        <v>Pass</v>
      </c>
    </row>
    <row r="733" spans="1:11" x14ac:dyDescent="0.25">
      <c r="A733" t="s">
        <v>13</v>
      </c>
      <c r="B733" t="s">
        <v>14</v>
      </c>
      <c r="C733" t="s">
        <v>19</v>
      </c>
      <c r="D733" t="s">
        <v>11</v>
      </c>
      <c r="E733" t="s">
        <v>17</v>
      </c>
      <c r="F733" s="1">
        <v>63</v>
      </c>
      <c r="G733" s="1">
        <v>70</v>
      </c>
      <c r="H733" s="1">
        <v>71</v>
      </c>
      <c r="I733" s="1">
        <f t="shared" si="33"/>
        <v>68</v>
      </c>
      <c r="J733" t="str">
        <f t="shared" si="34"/>
        <v>Good</v>
      </c>
      <c r="K733" t="str">
        <f t="shared" si="35"/>
        <v>Pass</v>
      </c>
    </row>
    <row r="734" spans="1:11" x14ac:dyDescent="0.25">
      <c r="A734" t="s">
        <v>8</v>
      </c>
      <c r="B734" t="s">
        <v>18</v>
      </c>
      <c r="C734" t="s">
        <v>21</v>
      </c>
      <c r="D734" t="s">
        <v>11</v>
      </c>
      <c r="E734" t="s">
        <v>17</v>
      </c>
      <c r="F734" s="1">
        <v>100</v>
      </c>
      <c r="G734" s="1">
        <v>91</v>
      </c>
      <c r="H734" s="1">
        <v>86</v>
      </c>
      <c r="I734" s="1">
        <f t="shared" si="33"/>
        <v>92.333333333333329</v>
      </c>
      <c r="J734" t="str">
        <f t="shared" si="34"/>
        <v>Excellent</v>
      </c>
      <c r="K734" t="str">
        <f t="shared" si="35"/>
        <v>Pass</v>
      </c>
    </row>
    <row r="735" spans="1:11" x14ac:dyDescent="0.25">
      <c r="A735" t="s">
        <v>8</v>
      </c>
      <c r="B735" t="s">
        <v>23</v>
      </c>
      <c r="C735" t="s">
        <v>21</v>
      </c>
      <c r="D735" t="s">
        <v>16</v>
      </c>
      <c r="E735" t="s">
        <v>17</v>
      </c>
      <c r="F735" s="1">
        <v>76</v>
      </c>
      <c r="G735" s="1">
        <v>68</v>
      </c>
      <c r="H735" s="1">
        <v>66</v>
      </c>
      <c r="I735" s="1">
        <f t="shared" si="33"/>
        <v>70</v>
      </c>
      <c r="J735" t="str">
        <f t="shared" si="34"/>
        <v>Good</v>
      </c>
      <c r="K735" t="str">
        <f t="shared" si="35"/>
        <v>Pass</v>
      </c>
    </row>
    <row r="736" spans="1:11" x14ac:dyDescent="0.25">
      <c r="A736" t="s">
        <v>13</v>
      </c>
      <c r="B736" t="s">
        <v>20</v>
      </c>
      <c r="C736" t="s">
        <v>15</v>
      </c>
      <c r="D736" t="s">
        <v>16</v>
      </c>
      <c r="E736" t="s">
        <v>17</v>
      </c>
      <c r="F736" s="1">
        <v>52</v>
      </c>
      <c r="G736" s="1">
        <v>58</v>
      </c>
      <c r="H736" s="1">
        <v>53</v>
      </c>
      <c r="I736" s="1">
        <f t="shared" si="33"/>
        <v>54.333333333333336</v>
      </c>
      <c r="J736" t="str">
        <f t="shared" si="34"/>
        <v>Average</v>
      </c>
      <c r="K736" t="str">
        <f t="shared" si="35"/>
        <v>Pass</v>
      </c>
    </row>
    <row r="737" spans="1:11" x14ac:dyDescent="0.25">
      <c r="A737" t="s">
        <v>13</v>
      </c>
      <c r="B737" t="s">
        <v>20</v>
      </c>
      <c r="C737" t="s">
        <v>24</v>
      </c>
      <c r="D737" t="s">
        <v>11</v>
      </c>
      <c r="E737" t="s">
        <v>12</v>
      </c>
      <c r="F737" s="1">
        <v>81</v>
      </c>
      <c r="G737" s="1">
        <v>86</v>
      </c>
      <c r="H737" s="1">
        <v>93</v>
      </c>
      <c r="I737" s="1">
        <f t="shared" si="33"/>
        <v>86.666666666666671</v>
      </c>
      <c r="J737" t="str">
        <f t="shared" si="34"/>
        <v>Excellent</v>
      </c>
      <c r="K737" t="str">
        <f t="shared" si="35"/>
        <v>Pass</v>
      </c>
    </row>
    <row r="738" spans="1:11" x14ac:dyDescent="0.25">
      <c r="A738" t="s">
        <v>8</v>
      </c>
      <c r="B738" t="s">
        <v>23</v>
      </c>
      <c r="C738" t="s">
        <v>21</v>
      </c>
      <c r="D738" t="s">
        <v>11</v>
      </c>
      <c r="E738" t="s">
        <v>12</v>
      </c>
      <c r="F738" s="1">
        <v>90</v>
      </c>
      <c r="G738" s="1">
        <v>89</v>
      </c>
      <c r="H738" s="1">
        <v>87</v>
      </c>
      <c r="I738" s="1">
        <f t="shared" si="33"/>
        <v>88.666666666666671</v>
      </c>
      <c r="J738" t="str">
        <f t="shared" si="34"/>
        <v>Excellent</v>
      </c>
      <c r="K738" t="str">
        <f t="shared" si="35"/>
        <v>Pass</v>
      </c>
    </row>
    <row r="739" spans="1:11" x14ac:dyDescent="0.25">
      <c r="A739" t="s">
        <v>8</v>
      </c>
      <c r="B739" t="s">
        <v>14</v>
      </c>
      <c r="C739" t="s">
        <v>21</v>
      </c>
      <c r="D739" t="s">
        <v>11</v>
      </c>
      <c r="E739" t="s">
        <v>17</v>
      </c>
      <c r="F739" s="1">
        <v>83</v>
      </c>
      <c r="G739" s="1">
        <v>82</v>
      </c>
      <c r="H739" s="1">
        <v>81</v>
      </c>
      <c r="I739" s="1">
        <f t="shared" si="33"/>
        <v>82</v>
      </c>
      <c r="J739" t="str">
        <f t="shared" si="34"/>
        <v>Excellent</v>
      </c>
      <c r="K739" t="str">
        <f t="shared" si="35"/>
        <v>Pass</v>
      </c>
    </row>
    <row r="740" spans="1:11" x14ac:dyDescent="0.25">
      <c r="A740" t="s">
        <v>13</v>
      </c>
      <c r="B740" t="s">
        <v>20</v>
      </c>
      <c r="C740" t="s">
        <v>10</v>
      </c>
      <c r="D740" t="s">
        <v>11</v>
      </c>
      <c r="E740" t="s">
        <v>17</v>
      </c>
      <c r="F740" s="1">
        <v>61</v>
      </c>
      <c r="G740" s="1">
        <v>73</v>
      </c>
      <c r="H740" s="1">
        <v>69</v>
      </c>
      <c r="I740" s="1">
        <f t="shared" si="33"/>
        <v>67.666666666666671</v>
      </c>
      <c r="J740" t="str">
        <f t="shared" si="34"/>
        <v>Good</v>
      </c>
      <c r="K740" t="str">
        <f t="shared" si="35"/>
        <v>Pass</v>
      </c>
    </row>
    <row r="741" spans="1:11" x14ac:dyDescent="0.25">
      <c r="A741" t="s">
        <v>13</v>
      </c>
      <c r="B741" t="s">
        <v>18</v>
      </c>
      <c r="C741" t="s">
        <v>21</v>
      </c>
      <c r="D741" t="s">
        <v>11</v>
      </c>
      <c r="E741" t="s">
        <v>12</v>
      </c>
      <c r="F741" s="1">
        <v>79</v>
      </c>
      <c r="G741" s="1">
        <v>69</v>
      </c>
      <c r="H741" s="1">
        <v>75</v>
      </c>
      <c r="I741" s="1">
        <f t="shared" si="33"/>
        <v>74.333333333333329</v>
      </c>
      <c r="J741" t="str">
        <f t="shared" si="34"/>
        <v>Good</v>
      </c>
      <c r="K741" t="str">
        <f t="shared" si="35"/>
        <v>Pass</v>
      </c>
    </row>
    <row r="742" spans="1:11" x14ac:dyDescent="0.25">
      <c r="A742" t="s">
        <v>8</v>
      </c>
      <c r="B742" t="s">
        <v>20</v>
      </c>
      <c r="C742" t="s">
        <v>19</v>
      </c>
      <c r="D742" t="s">
        <v>11</v>
      </c>
      <c r="E742" t="s">
        <v>17</v>
      </c>
      <c r="F742" s="1">
        <v>52</v>
      </c>
      <c r="G742" s="1">
        <v>53</v>
      </c>
      <c r="H742" s="1">
        <v>51</v>
      </c>
      <c r="I742" s="1">
        <f t="shared" si="33"/>
        <v>52</v>
      </c>
      <c r="J742" t="str">
        <f t="shared" si="34"/>
        <v>Average</v>
      </c>
      <c r="K742" t="str">
        <f t="shared" si="35"/>
        <v>Pass</v>
      </c>
    </row>
    <row r="743" spans="1:11" x14ac:dyDescent="0.25">
      <c r="A743" t="s">
        <v>13</v>
      </c>
      <c r="B743" t="s">
        <v>20</v>
      </c>
      <c r="C743" t="s">
        <v>22</v>
      </c>
      <c r="D743" t="s">
        <v>11</v>
      </c>
      <c r="E743" t="s">
        <v>12</v>
      </c>
      <c r="F743" s="1">
        <v>62</v>
      </c>
      <c r="G743" s="1">
        <v>65</v>
      </c>
      <c r="H743" s="1">
        <v>67</v>
      </c>
      <c r="I743" s="1">
        <f t="shared" si="33"/>
        <v>64.666666666666671</v>
      </c>
      <c r="J743" t="str">
        <f t="shared" si="34"/>
        <v>Good</v>
      </c>
      <c r="K743" t="str">
        <f t="shared" si="35"/>
        <v>Pass</v>
      </c>
    </row>
    <row r="744" spans="1:11" x14ac:dyDescent="0.25">
      <c r="A744" t="s">
        <v>13</v>
      </c>
      <c r="B744" t="s">
        <v>14</v>
      </c>
      <c r="C744" t="s">
        <v>19</v>
      </c>
      <c r="D744" t="s">
        <v>11</v>
      </c>
      <c r="E744" t="s">
        <v>17</v>
      </c>
      <c r="F744" s="1">
        <v>85</v>
      </c>
      <c r="G744" s="1">
        <v>90</v>
      </c>
      <c r="H744" s="1">
        <v>84</v>
      </c>
      <c r="I744" s="1">
        <f t="shared" si="33"/>
        <v>86.333333333333329</v>
      </c>
      <c r="J744" t="str">
        <f t="shared" si="34"/>
        <v>Excellent</v>
      </c>
      <c r="K744" t="str">
        <f t="shared" si="35"/>
        <v>Pass</v>
      </c>
    </row>
    <row r="745" spans="1:11" x14ac:dyDescent="0.25">
      <c r="A745" t="s">
        <v>13</v>
      </c>
      <c r="B745" t="s">
        <v>18</v>
      </c>
      <c r="C745" t="s">
        <v>10</v>
      </c>
      <c r="D745" t="s">
        <v>16</v>
      </c>
      <c r="E745" t="s">
        <v>12</v>
      </c>
      <c r="F745" s="1">
        <v>74</v>
      </c>
      <c r="G745" s="1">
        <v>96</v>
      </c>
      <c r="H745" s="1">
        <v>95</v>
      </c>
      <c r="I745" s="1">
        <f t="shared" si="33"/>
        <v>88.333333333333329</v>
      </c>
      <c r="J745" t="str">
        <f t="shared" si="34"/>
        <v>Excellent</v>
      </c>
      <c r="K745" t="str">
        <f t="shared" si="35"/>
        <v>Pass</v>
      </c>
    </row>
    <row r="746" spans="1:11" x14ac:dyDescent="0.25">
      <c r="A746" t="s">
        <v>8</v>
      </c>
      <c r="B746" t="s">
        <v>23</v>
      </c>
      <c r="C746" t="s">
        <v>21</v>
      </c>
      <c r="D746" t="s">
        <v>16</v>
      </c>
      <c r="E746" t="s">
        <v>17</v>
      </c>
      <c r="F746" s="1">
        <v>83</v>
      </c>
      <c r="G746" s="1">
        <v>85</v>
      </c>
      <c r="H746" s="1">
        <v>78</v>
      </c>
      <c r="I746" s="1">
        <f t="shared" si="33"/>
        <v>82</v>
      </c>
      <c r="J746" t="str">
        <f t="shared" si="34"/>
        <v>Excellent</v>
      </c>
      <c r="K746" t="str">
        <f t="shared" si="35"/>
        <v>Pass</v>
      </c>
    </row>
    <row r="747" spans="1:11" x14ac:dyDescent="0.25">
      <c r="A747" t="s">
        <v>8</v>
      </c>
      <c r="B747" t="s">
        <v>23</v>
      </c>
      <c r="C747" t="s">
        <v>19</v>
      </c>
      <c r="D747" t="s">
        <v>11</v>
      </c>
      <c r="E747" t="s">
        <v>17</v>
      </c>
      <c r="F747" s="1">
        <v>78</v>
      </c>
      <c r="G747" s="1">
        <v>72</v>
      </c>
      <c r="H747" s="1">
        <v>72</v>
      </c>
      <c r="I747" s="1">
        <f t="shared" si="33"/>
        <v>74</v>
      </c>
      <c r="J747" t="str">
        <f t="shared" si="34"/>
        <v>Good</v>
      </c>
      <c r="K747" t="str">
        <f t="shared" si="35"/>
        <v>Pass</v>
      </c>
    </row>
    <row r="748" spans="1:11" x14ac:dyDescent="0.25">
      <c r="A748" t="s">
        <v>13</v>
      </c>
      <c r="B748" t="s">
        <v>23</v>
      </c>
      <c r="C748" t="s">
        <v>10</v>
      </c>
      <c r="D748" t="s">
        <v>16</v>
      </c>
      <c r="E748" t="s">
        <v>17</v>
      </c>
      <c r="F748" s="1">
        <v>41</v>
      </c>
      <c r="G748" s="1">
        <v>43</v>
      </c>
      <c r="H748" s="1">
        <v>40</v>
      </c>
      <c r="I748" s="1">
        <f t="shared" si="33"/>
        <v>41.333333333333336</v>
      </c>
      <c r="J748" t="str">
        <f t="shared" si="34"/>
        <v>Average</v>
      </c>
      <c r="K748" t="str">
        <f t="shared" si="35"/>
        <v>Pass</v>
      </c>
    </row>
    <row r="749" spans="1:11" x14ac:dyDescent="0.25">
      <c r="A749" t="s">
        <v>13</v>
      </c>
      <c r="B749" t="s">
        <v>9</v>
      </c>
      <c r="C749" t="s">
        <v>10</v>
      </c>
      <c r="D749" t="s">
        <v>11</v>
      </c>
      <c r="E749" t="s">
        <v>17</v>
      </c>
      <c r="F749" s="1">
        <v>77</v>
      </c>
      <c r="G749" s="1">
        <v>91</v>
      </c>
      <c r="H749" s="1">
        <v>87</v>
      </c>
      <c r="I749" s="1">
        <f t="shared" si="33"/>
        <v>85</v>
      </c>
      <c r="J749" t="str">
        <f t="shared" si="34"/>
        <v>Excellent</v>
      </c>
      <c r="K749" t="str">
        <f t="shared" si="35"/>
        <v>Pass</v>
      </c>
    </row>
    <row r="750" spans="1:11" x14ac:dyDescent="0.25">
      <c r="A750" t="s">
        <v>8</v>
      </c>
      <c r="B750" t="s">
        <v>23</v>
      </c>
      <c r="C750" t="s">
        <v>22</v>
      </c>
      <c r="D750" t="s">
        <v>11</v>
      </c>
      <c r="E750" t="s">
        <v>17</v>
      </c>
      <c r="F750" s="1">
        <v>95</v>
      </c>
      <c r="G750" s="1">
        <v>99</v>
      </c>
      <c r="H750" s="1">
        <v>91</v>
      </c>
      <c r="I750" s="1">
        <f t="shared" si="33"/>
        <v>95</v>
      </c>
      <c r="J750" t="str">
        <f t="shared" si="34"/>
        <v>Excellent</v>
      </c>
      <c r="K750" t="str">
        <f t="shared" si="35"/>
        <v>Pass</v>
      </c>
    </row>
    <row r="751" spans="1:11" x14ac:dyDescent="0.25">
      <c r="A751" t="s">
        <v>13</v>
      </c>
      <c r="B751" t="s">
        <v>20</v>
      </c>
      <c r="C751" t="s">
        <v>10</v>
      </c>
      <c r="D751" t="s">
        <v>16</v>
      </c>
      <c r="E751" t="s">
        <v>17</v>
      </c>
      <c r="F751" s="1">
        <v>50</v>
      </c>
      <c r="G751" s="1">
        <v>68</v>
      </c>
      <c r="H751" s="1">
        <v>66</v>
      </c>
      <c r="I751" s="1">
        <f t="shared" si="33"/>
        <v>61.333333333333336</v>
      </c>
      <c r="J751" t="str">
        <f t="shared" si="34"/>
        <v>Good</v>
      </c>
      <c r="K751" t="str">
        <f t="shared" si="35"/>
        <v>Pass</v>
      </c>
    </row>
    <row r="752" spans="1:11" x14ac:dyDescent="0.25">
      <c r="A752" t="s">
        <v>8</v>
      </c>
      <c r="B752" t="s">
        <v>23</v>
      </c>
      <c r="C752" t="s">
        <v>19</v>
      </c>
      <c r="D752" t="s">
        <v>11</v>
      </c>
      <c r="E752" t="s">
        <v>17</v>
      </c>
      <c r="F752" s="1">
        <v>74</v>
      </c>
      <c r="G752" s="1">
        <v>76</v>
      </c>
      <c r="H752" s="1">
        <v>70</v>
      </c>
      <c r="I752" s="1">
        <f t="shared" si="33"/>
        <v>73.333333333333329</v>
      </c>
      <c r="J752" t="str">
        <f t="shared" si="34"/>
        <v>Good</v>
      </c>
      <c r="K752" t="str">
        <f t="shared" si="35"/>
        <v>Pass</v>
      </c>
    </row>
    <row r="753" spans="1:11" x14ac:dyDescent="0.25">
      <c r="A753" t="s">
        <v>13</v>
      </c>
      <c r="B753" t="s">
        <v>14</v>
      </c>
      <c r="C753" t="s">
        <v>22</v>
      </c>
      <c r="D753" t="s">
        <v>11</v>
      </c>
      <c r="E753" t="s">
        <v>12</v>
      </c>
      <c r="F753" s="1">
        <v>74</v>
      </c>
      <c r="G753" s="1">
        <v>93</v>
      </c>
      <c r="H753" s="1">
        <v>93</v>
      </c>
      <c r="I753" s="1">
        <f t="shared" si="33"/>
        <v>86.666666666666671</v>
      </c>
      <c r="J753" t="str">
        <f t="shared" si="34"/>
        <v>Excellent</v>
      </c>
      <c r="K753" t="str">
        <f t="shared" si="35"/>
        <v>Pass</v>
      </c>
    </row>
    <row r="754" spans="1:11" x14ac:dyDescent="0.25">
      <c r="A754" t="s">
        <v>8</v>
      </c>
      <c r="B754" t="s">
        <v>18</v>
      </c>
      <c r="C754" t="s">
        <v>10</v>
      </c>
      <c r="D754" t="s">
        <v>11</v>
      </c>
      <c r="E754" t="s">
        <v>17</v>
      </c>
      <c r="F754" s="1">
        <v>70</v>
      </c>
      <c r="G754" s="1">
        <v>62</v>
      </c>
      <c r="H754" s="1">
        <v>61</v>
      </c>
      <c r="I754" s="1">
        <f t="shared" si="33"/>
        <v>64.333333333333329</v>
      </c>
      <c r="J754" t="str">
        <f t="shared" si="34"/>
        <v>Good</v>
      </c>
      <c r="K754" t="str">
        <f t="shared" si="35"/>
        <v>Pass</v>
      </c>
    </row>
    <row r="755" spans="1:11" x14ac:dyDescent="0.25">
      <c r="A755" t="s">
        <v>8</v>
      </c>
      <c r="B755" t="s">
        <v>14</v>
      </c>
      <c r="C755" t="s">
        <v>21</v>
      </c>
      <c r="D755" t="s">
        <v>16</v>
      </c>
      <c r="E755" t="s">
        <v>17</v>
      </c>
      <c r="F755" s="1">
        <v>61</v>
      </c>
      <c r="G755" s="1">
        <v>59</v>
      </c>
      <c r="H755" s="1">
        <v>54</v>
      </c>
      <c r="I755" s="1">
        <f t="shared" si="33"/>
        <v>58</v>
      </c>
      <c r="J755" t="str">
        <f t="shared" si="34"/>
        <v>Average</v>
      </c>
      <c r="K755" t="str">
        <f t="shared" si="35"/>
        <v>Pass</v>
      </c>
    </row>
    <row r="756" spans="1:11" x14ac:dyDescent="0.25">
      <c r="A756" t="s">
        <v>13</v>
      </c>
      <c r="B756" t="s">
        <v>9</v>
      </c>
      <c r="C756" t="s">
        <v>24</v>
      </c>
      <c r="D756" t="s">
        <v>11</v>
      </c>
      <c r="E756" t="s">
        <v>12</v>
      </c>
      <c r="F756" s="1">
        <v>94</v>
      </c>
      <c r="G756" s="1">
        <v>100</v>
      </c>
      <c r="H756" s="1">
        <v>100</v>
      </c>
      <c r="I756" s="1">
        <f t="shared" si="33"/>
        <v>98</v>
      </c>
      <c r="J756" t="str">
        <f t="shared" si="34"/>
        <v>Excellent</v>
      </c>
      <c r="K756" t="str">
        <f t="shared" si="35"/>
        <v>Pass</v>
      </c>
    </row>
    <row r="757" spans="1:11" x14ac:dyDescent="0.25">
      <c r="A757" t="s">
        <v>13</v>
      </c>
      <c r="B757" t="s">
        <v>14</v>
      </c>
      <c r="C757" t="s">
        <v>10</v>
      </c>
      <c r="D757" t="s">
        <v>11</v>
      </c>
      <c r="E757" t="s">
        <v>17</v>
      </c>
      <c r="F757" s="1">
        <v>66</v>
      </c>
      <c r="G757" s="1">
        <v>84</v>
      </c>
      <c r="H757" s="1">
        <v>77</v>
      </c>
      <c r="I757" s="1">
        <f t="shared" si="33"/>
        <v>75.666666666666671</v>
      </c>
      <c r="J757" t="str">
        <f t="shared" si="34"/>
        <v>Good</v>
      </c>
      <c r="K757" t="str">
        <f t="shared" si="35"/>
        <v>Pass</v>
      </c>
    </row>
    <row r="758" spans="1:11" x14ac:dyDescent="0.25">
      <c r="A758" t="s">
        <v>13</v>
      </c>
      <c r="B758" t="s">
        <v>14</v>
      </c>
      <c r="C758" t="s">
        <v>24</v>
      </c>
      <c r="D758" t="s">
        <v>11</v>
      </c>
      <c r="E758" t="s">
        <v>17</v>
      </c>
      <c r="F758" s="1">
        <v>83</v>
      </c>
      <c r="G758" s="1">
        <v>88</v>
      </c>
      <c r="H758" s="1">
        <v>93</v>
      </c>
      <c r="I758" s="1">
        <f t="shared" si="33"/>
        <v>88</v>
      </c>
      <c r="J758" t="str">
        <f t="shared" si="34"/>
        <v>Excellent</v>
      </c>
      <c r="K758" t="str">
        <f t="shared" si="35"/>
        <v>Pass</v>
      </c>
    </row>
    <row r="759" spans="1:11" x14ac:dyDescent="0.25">
      <c r="A759" t="s">
        <v>8</v>
      </c>
      <c r="B759" t="s">
        <v>14</v>
      </c>
      <c r="C759" t="s">
        <v>10</v>
      </c>
      <c r="D759" t="s">
        <v>11</v>
      </c>
      <c r="E759" t="s">
        <v>17</v>
      </c>
      <c r="F759" s="1">
        <v>75</v>
      </c>
      <c r="G759" s="1">
        <v>63</v>
      </c>
      <c r="H759" s="1">
        <v>60</v>
      </c>
      <c r="I759" s="1">
        <f t="shared" si="33"/>
        <v>66</v>
      </c>
      <c r="J759" t="str">
        <f t="shared" si="34"/>
        <v>Good</v>
      </c>
      <c r="K759" t="str">
        <f t="shared" si="35"/>
        <v>Pass</v>
      </c>
    </row>
    <row r="760" spans="1:11" x14ac:dyDescent="0.25">
      <c r="A760" t="s">
        <v>8</v>
      </c>
      <c r="B760" t="s">
        <v>14</v>
      </c>
      <c r="C760" t="s">
        <v>10</v>
      </c>
      <c r="D760" t="s">
        <v>16</v>
      </c>
      <c r="E760" t="s">
        <v>12</v>
      </c>
      <c r="F760" s="1">
        <v>56</v>
      </c>
      <c r="G760" s="1">
        <v>65</v>
      </c>
      <c r="H760" s="1">
        <v>63</v>
      </c>
      <c r="I760" s="1">
        <f t="shared" si="33"/>
        <v>61.333333333333336</v>
      </c>
      <c r="J760" t="str">
        <f t="shared" si="34"/>
        <v>Good</v>
      </c>
      <c r="K760" t="str">
        <f t="shared" si="35"/>
        <v>Pass</v>
      </c>
    </row>
    <row r="761" spans="1:11" x14ac:dyDescent="0.25">
      <c r="A761" t="s">
        <v>13</v>
      </c>
      <c r="B761" t="s">
        <v>20</v>
      </c>
      <c r="C761" t="s">
        <v>19</v>
      </c>
      <c r="D761" t="s">
        <v>16</v>
      </c>
      <c r="E761" t="s">
        <v>17</v>
      </c>
      <c r="F761" s="1">
        <v>66</v>
      </c>
      <c r="G761" s="1">
        <v>88</v>
      </c>
      <c r="H761" s="1">
        <v>83</v>
      </c>
      <c r="I761" s="1">
        <f t="shared" si="33"/>
        <v>79</v>
      </c>
      <c r="J761" t="str">
        <f t="shared" si="34"/>
        <v>Good</v>
      </c>
      <c r="K761" t="str">
        <f t="shared" si="35"/>
        <v>Pass</v>
      </c>
    </row>
    <row r="762" spans="1:11" x14ac:dyDescent="0.25">
      <c r="A762" t="s">
        <v>13</v>
      </c>
      <c r="B762" t="s">
        <v>20</v>
      </c>
      <c r="C762" t="s">
        <v>10</v>
      </c>
      <c r="D762" t="s">
        <v>16</v>
      </c>
      <c r="E762" t="s">
        <v>17</v>
      </c>
      <c r="F762" s="1">
        <v>61</v>
      </c>
      <c r="G762" s="1">
        <v>69</v>
      </c>
      <c r="H762" s="1">
        <v>66</v>
      </c>
      <c r="I762" s="1">
        <f t="shared" si="33"/>
        <v>65.333333333333329</v>
      </c>
      <c r="J762" t="str">
        <f t="shared" si="34"/>
        <v>Good</v>
      </c>
      <c r="K762" t="str">
        <f t="shared" si="35"/>
        <v>Pass</v>
      </c>
    </row>
    <row r="763" spans="1:11" x14ac:dyDescent="0.25">
      <c r="A763" t="s">
        <v>8</v>
      </c>
      <c r="B763" t="s">
        <v>23</v>
      </c>
      <c r="C763" t="s">
        <v>15</v>
      </c>
      <c r="D763" t="s">
        <v>11</v>
      </c>
      <c r="E763" t="s">
        <v>12</v>
      </c>
      <c r="F763" s="1">
        <v>70</v>
      </c>
      <c r="G763" s="1">
        <v>79</v>
      </c>
      <c r="H763" s="1">
        <v>73</v>
      </c>
      <c r="I763" s="1">
        <f t="shared" si="33"/>
        <v>74</v>
      </c>
      <c r="J763" t="str">
        <f t="shared" si="34"/>
        <v>Good</v>
      </c>
      <c r="K763" t="str">
        <f t="shared" si="35"/>
        <v>Pass</v>
      </c>
    </row>
    <row r="764" spans="1:11" x14ac:dyDescent="0.25">
      <c r="A764" t="s">
        <v>8</v>
      </c>
      <c r="B764" t="s">
        <v>23</v>
      </c>
      <c r="C764" t="s">
        <v>24</v>
      </c>
      <c r="D764" t="s">
        <v>11</v>
      </c>
      <c r="E764" t="s">
        <v>17</v>
      </c>
      <c r="F764" s="1">
        <v>57</v>
      </c>
      <c r="G764" s="1">
        <v>59</v>
      </c>
      <c r="H764" s="1">
        <v>53</v>
      </c>
      <c r="I764" s="1">
        <f t="shared" si="33"/>
        <v>56.333333333333336</v>
      </c>
      <c r="J764" t="str">
        <f t="shared" si="34"/>
        <v>Average</v>
      </c>
      <c r="K764" t="str">
        <f t="shared" si="35"/>
        <v>Pass</v>
      </c>
    </row>
    <row r="765" spans="1:11" x14ac:dyDescent="0.25">
      <c r="A765" t="s">
        <v>13</v>
      </c>
      <c r="B765" t="s">
        <v>23</v>
      </c>
      <c r="C765" t="s">
        <v>21</v>
      </c>
      <c r="D765" t="s">
        <v>16</v>
      </c>
      <c r="E765" t="s">
        <v>12</v>
      </c>
      <c r="F765" s="1">
        <v>78</v>
      </c>
      <c r="G765" s="1">
        <v>89</v>
      </c>
      <c r="H765" s="1">
        <v>90</v>
      </c>
      <c r="I765" s="1">
        <f t="shared" si="33"/>
        <v>85.666666666666671</v>
      </c>
      <c r="J765" t="str">
        <f t="shared" si="34"/>
        <v>Excellent</v>
      </c>
      <c r="K765" t="str">
        <f t="shared" si="35"/>
        <v>Pass</v>
      </c>
    </row>
    <row r="766" spans="1:11" x14ac:dyDescent="0.25">
      <c r="A766" t="s">
        <v>13</v>
      </c>
      <c r="B766" t="s">
        <v>23</v>
      </c>
      <c r="C766" t="s">
        <v>15</v>
      </c>
      <c r="D766" t="s">
        <v>11</v>
      </c>
      <c r="E766" t="s">
        <v>17</v>
      </c>
      <c r="F766" s="1">
        <v>62</v>
      </c>
      <c r="G766" s="1">
        <v>76</v>
      </c>
      <c r="H766" s="1">
        <v>67</v>
      </c>
      <c r="I766" s="1">
        <f t="shared" si="33"/>
        <v>68.333333333333329</v>
      </c>
      <c r="J766" t="str">
        <f t="shared" si="34"/>
        <v>Good</v>
      </c>
      <c r="K766" t="str">
        <f t="shared" si="35"/>
        <v>Pass</v>
      </c>
    </row>
    <row r="767" spans="1:11" x14ac:dyDescent="0.25">
      <c r="A767" t="s">
        <v>8</v>
      </c>
      <c r="B767" t="s">
        <v>23</v>
      </c>
      <c r="C767" t="s">
        <v>15</v>
      </c>
      <c r="D767" t="s">
        <v>11</v>
      </c>
      <c r="E767" t="s">
        <v>12</v>
      </c>
      <c r="F767" s="1">
        <v>64</v>
      </c>
      <c r="G767" s="1">
        <v>53</v>
      </c>
      <c r="H767" s="1">
        <v>49</v>
      </c>
      <c r="I767" s="1">
        <f t="shared" si="33"/>
        <v>55.333333333333336</v>
      </c>
      <c r="J767" t="str">
        <f t="shared" si="34"/>
        <v>Average</v>
      </c>
      <c r="K767" t="str">
        <f t="shared" si="35"/>
        <v>Pass</v>
      </c>
    </row>
    <row r="768" spans="1:11" x14ac:dyDescent="0.25">
      <c r="A768" t="s">
        <v>13</v>
      </c>
      <c r="B768" t="s">
        <v>20</v>
      </c>
      <c r="C768" t="s">
        <v>10</v>
      </c>
      <c r="D768" t="s">
        <v>16</v>
      </c>
      <c r="E768" t="s">
        <v>17</v>
      </c>
      <c r="F768" s="1">
        <v>55</v>
      </c>
      <c r="G768" s="1">
        <v>66</v>
      </c>
      <c r="H768" s="1">
        <v>65</v>
      </c>
      <c r="I768" s="1">
        <f t="shared" si="33"/>
        <v>62</v>
      </c>
      <c r="J768" t="str">
        <f t="shared" si="34"/>
        <v>Good</v>
      </c>
      <c r="K768" t="str">
        <f t="shared" si="35"/>
        <v>Pass</v>
      </c>
    </row>
    <row r="769" spans="1:11" x14ac:dyDescent="0.25">
      <c r="A769" t="s">
        <v>13</v>
      </c>
      <c r="B769" t="s">
        <v>14</v>
      </c>
      <c r="C769" t="s">
        <v>19</v>
      </c>
      <c r="D769" t="s">
        <v>11</v>
      </c>
      <c r="E769" t="s">
        <v>17</v>
      </c>
      <c r="F769" s="1">
        <v>72</v>
      </c>
      <c r="G769" s="1">
        <v>83</v>
      </c>
      <c r="H769" s="1">
        <v>83</v>
      </c>
      <c r="I769" s="1">
        <f t="shared" si="33"/>
        <v>79.333333333333329</v>
      </c>
      <c r="J769" t="str">
        <f t="shared" si="34"/>
        <v>Good</v>
      </c>
      <c r="K769" t="str">
        <f t="shared" si="35"/>
        <v>Pass</v>
      </c>
    </row>
    <row r="770" spans="1:11" x14ac:dyDescent="0.25">
      <c r="A770" t="s">
        <v>8</v>
      </c>
      <c r="B770" t="s">
        <v>9</v>
      </c>
      <c r="C770" t="s">
        <v>19</v>
      </c>
      <c r="D770" t="s">
        <v>16</v>
      </c>
      <c r="E770" t="s">
        <v>17</v>
      </c>
      <c r="F770" s="1">
        <v>49</v>
      </c>
      <c r="G770" s="1">
        <v>48</v>
      </c>
      <c r="H770" s="1">
        <v>42</v>
      </c>
      <c r="I770" s="1">
        <f t="shared" ref="I770:I833" si="36">AVERAGE(F770:H770)</f>
        <v>46.333333333333336</v>
      </c>
      <c r="J770" t="str">
        <f t="shared" ref="J770:J833" si="37">IF(I770&gt;=80,"Excellent", IF(I770&gt;=60,"Good", IF(I770&gt;=40,"Average","Poor")))</f>
        <v>Average</v>
      </c>
      <c r="K770" t="str">
        <f t="shared" ref="K770:K833" si="38">IF(I770&gt;=40, "Pass","Fail")</f>
        <v>Pass</v>
      </c>
    </row>
    <row r="771" spans="1:11" x14ac:dyDescent="0.25">
      <c r="A771" t="s">
        <v>13</v>
      </c>
      <c r="B771" t="s">
        <v>14</v>
      </c>
      <c r="C771" t="s">
        <v>19</v>
      </c>
      <c r="D771" t="s">
        <v>11</v>
      </c>
      <c r="E771" t="s">
        <v>17</v>
      </c>
      <c r="F771" s="1">
        <v>62</v>
      </c>
      <c r="G771" s="1">
        <v>60</v>
      </c>
      <c r="H771" s="1">
        <v>63</v>
      </c>
      <c r="I771" s="1">
        <f t="shared" si="36"/>
        <v>61.666666666666664</v>
      </c>
      <c r="J771" t="str">
        <f t="shared" si="37"/>
        <v>Good</v>
      </c>
      <c r="K771" t="str">
        <f t="shared" si="38"/>
        <v>Pass</v>
      </c>
    </row>
    <row r="772" spans="1:11" x14ac:dyDescent="0.25">
      <c r="A772" t="s">
        <v>8</v>
      </c>
      <c r="B772" t="s">
        <v>20</v>
      </c>
      <c r="C772" t="s">
        <v>15</v>
      </c>
      <c r="D772" t="s">
        <v>16</v>
      </c>
      <c r="E772" t="s">
        <v>17</v>
      </c>
      <c r="F772" s="1">
        <v>76</v>
      </c>
      <c r="G772" s="1">
        <v>73</v>
      </c>
      <c r="H772" s="1">
        <v>68</v>
      </c>
      <c r="I772" s="1">
        <f t="shared" si="36"/>
        <v>72.333333333333329</v>
      </c>
      <c r="J772" t="str">
        <f t="shared" si="37"/>
        <v>Good</v>
      </c>
      <c r="K772" t="str">
        <f t="shared" si="38"/>
        <v>Pass</v>
      </c>
    </row>
    <row r="773" spans="1:11" x14ac:dyDescent="0.25">
      <c r="A773" t="s">
        <v>13</v>
      </c>
      <c r="B773" t="s">
        <v>23</v>
      </c>
      <c r="C773" t="s">
        <v>24</v>
      </c>
      <c r="D773" t="s">
        <v>11</v>
      </c>
      <c r="E773" t="s">
        <v>12</v>
      </c>
      <c r="F773" s="1">
        <v>73</v>
      </c>
      <c r="G773" s="1">
        <v>86</v>
      </c>
      <c r="H773" s="1">
        <v>85</v>
      </c>
      <c r="I773" s="1">
        <f t="shared" si="36"/>
        <v>81.333333333333329</v>
      </c>
      <c r="J773" t="str">
        <f t="shared" si="37"/>
        <v>Excellent</v>
      </c>
      <c r="K773" t="str">
        <f t="shared" si="38"/>
        <v>Pass</v>
      </c>
    </row>
    <row r="774" spans="1:11" x14ac:dyDescent="0.25">
      <c r="A774" t="s">
        <v>13</v>
      </c>
      <c r="B774" t="s">
        <v>23</v>
      </c>
      <c r="C774" t="s">
        <v>21</v>
      </c>
      <c r="D774" t="s">
        <v>11</v>
      </c>
      <c r="E774" t="s">
        <v>12</v>
      </c>
      <c r="F774" s="1">
        <v>72</v>
      </c>
      <c r="G774" s="1">
        <v>76</v>
      </c>
      <c r="H774" s="1">
        <v>78</v>
      </c>
      <c r="I774" s="1">
        <f t="shared" si="36"/>
        <v>75.333333333333329</v>
      </c>
      <c r="J774" t="str">
        <f t="shared" si="37"/>
        <v>Good</v>
      </c>
      <c r="K774" t="str">
        <f t="shared" si="38"/>
        <v>Pass</v>
      </c>
    </row>
    <row r="775" spans="1:11" x14ac:dyDescent="0.25">
      <c r="A775" t="s">
        <v>8</v>
      </c>
      <c r="B775" t="s">
        <v>23</v>
      </c>
      <c r="C775" t="s">
        <v>10</v>
      </c>
      <c r="D775" t="s">
        <v>11</v>
      </c>
      <c r="E775" t="s">
        <v>17</v>
      </c>
      <c r="F775" s="1">
        <v>85</v>
      </c>
      <c r="G775" s="1">
        <v>85</v>
      </c>
      <c r="H775" s="1">
        <v>76</v>
      </c>
      <c r="I775" s="1">
        <f t="shared" si="36"/>
        <v>82</v>
      </c>
      <c r="J775" t="str">
        <f t="shared" si="37"/>
        <v>Excellent</v>
      </c>
      <c r="K775" t="str">
        <f t="shared" si="38"/>
        <v>Pass</v>
      </c>
    </row>
    <row r="776" spans="1:11" x14ac:dyDescent="0.25">
      <c r="A776" t="s">
        <v>8</v>
      </c>
      <c r="B776" t="s">
        <v>9</v>
      </c>
      <c r="C776" t="s">
        <v>19</v>
      </c>
      <c r="D776" t="s">
        <v>16</v>
      </c>
      <c r="E776" t="s">
        <v>17</v>
      </c>
      <c r="F776" s="1">
        <v>71</v>
      </c>
      <c r="G776" s="1">
        <v>68</v>
      </c>
      <c r="H776" s="1">
        <v>65</v>
      </c>
      <c r="I776" s="1">
        <f t="shared" si="36"/>
        <v>68</v>
      </c>
      <c r="J776" t="str">
        <f t="shared" si="37"/>
        <v>Good</v>
      </c>
      <c r="K776" t="str">
        <f t="shared" si="38"/>
        <v>Pass</v>
      </c>
    </row>
    <row r="777" spans="1:11" x14ac:dyDescent="0.25">
      <c r="A777" t="s">
        <v>13</v>
      </c>
      <c r="B777" t="s">
        <v>23</v>
      </c>
      <c r="C777" t="s">
        <v>15</v>
      </c>
      <c r="D777" t="s">
        <v>16</v>
      </c>
      <c r="E777" t="s">
        <v>17</v>
      </c>
      <c r="F777" s="1">
        <v>28</v>
      </c>
      <c r="G777" s="1">
        <v>38</v>
      </c>
      <c r="H777" s="1">
        <v>31</v>
      </c>
      <c r="I777" s="1">
        <f t="shared" si="36"/>
        <v>32.333333333333336</v>
      </c>
      <c r="J777" t="str">
        <f t="shared" si="37"/>
        <v>Poor</v>
      </c>
      <c r="K777" t="str">
        <f t="shared" si="38"/>
        <v>Fail</v>
      </c>
    </row>
    <row r="778" spans="1:11" x14ac:dyDescent="0.25">
      <c r="A778" t="s">
        <v>8</v>
      </c>
      <c r="B778" t="s">
        <v>23</v>
      </c>
      <c r="C778" t="s">
        <v>10</v>
      </c>
      <c r="D778" t="s">
        <v>16</v>
      </c>
      <c r="E778" t="s">
        <v>17</v>
      </c>
      <c r="F778" s="1">
        <v>41</v>
      </c>
      <c r="G778" s="1">
        <v>42</v>
      </c>
      <c r="H778" s="1">
        <v>38</v>
      </c>
      <c r="I778" s="1">
        <f t="shared" si="36"/>
        <v>40.333333333333336</v>
      </c>
      <c r="J778" t="str">
        <f t="shared" si="37"/>
        <v>Average</v>
      </c>
      <c r="K778" t="str">
        <f t="shared" si="38"/>
        <v>Pass</v>
      </c>
    </row>
    <row r="779" spans="1:11" x14ac:dyDescent="0.25">
      <c r="A779" t="s">
        <v>8</v>
      </c>
      <c r="B779" t="s">
        <v>18</v>
      </c>
      <c r="C779" t="s">
        <v>21</v>
      </c>
      <c r="D779" t="s">
        <v>11</v>
      </c>
      <c r="E779" t="s">
        <v>17</v>
      </c>
      <c r="F779" s="1">
        <v>78</v>
      </c>
      <c r="G779" s="1">
        <v>72</v>
      </c>
      <c r="H779" s="1">
        <v>68</v>
      </c>
      <c r="I779" s="1">
        <f t="shared" si="36"/>
        <v>72.666666666666671</v>
      </c>
      <c r="J779" t="str">
        <f t="shared" si="37"/>
        <v>Good</v>
      </c>
      <c r="K779" t="str">
        <f t="shared" si="38"/>
        <v>Pass</v>
      </c>
    </row>
    <row r="780" spans="1:11" x14ac:dyDescent="0.25">
      <c r="A780" t="s">
        <v>8</v>
      </c>
      <c r="B780" t="s">
        <v>23</v>
      </c>
      <c r="C780" t="s">
        <v>24</v>
      </c>
      <c r="D780" t="s">
        <v>16</v>
      </c>
      <c r="E780" t="s">
        <v>17</v>
      </c>
      <c r="F780" s="1">
        <v>48</v>
      </c>
      <c r="G780" s="1">
        <v>52</v>
      </c>
      <c r="H780" s="1">
        <v>44</v>
      </c>
      <c r="I780" s="1">
        <f t="shared" si="36"/>
        <v>48</v>
      </c>
      <c r="J780" t="str">
        <f t="shared" si="37"/>
        <v>Average</v>
      </c>
      <c r="K780" t="str">
        <f t="shared" si="38"/>
        <v>Pass</v>
      </c>
    </row>
    <row r="781" spans="1:11" x14ac:dyDescent="0.25">
      <c r="A781" t="s">
        <v>8</v>
      </c>
      <c r="B781" t="s">
        <v>23</v>
      </c>
      <c r="C781" t="s">
        <v>21</v>
      </c>
      <c r="D781" t="s">
        <v>16</v>
      </c>
      <c r="E781" t="s">
        <v>17</v>
      </c>
      <c r="F781" s="1">
        <v>38</v>
      </c>
      <c r="G781" s="1">
        <v>51</v>
      </c>
      <c r="H781" s="1">
        <v>47</v>
      </c>
      <c r="I781" s="1">
        <f t="shared" si="36"/>
        <v>45.333333333333336</v>
      </c>
      <c r="J781" t="str">
        <f t="shared" si="37"/>
        <v>Average</v>
      </c>
      <c r="K781" t="str">
        <f t="shared" si="38"/>
        <v>Pass</v>
      </c>
    </row>
    <row r="782" spans="1:11" x14ac:dyDescent="0.25">
      <c r="A782" t="s">
        <v>13</v>
      </c>
      <c r="B782" t="s">
        <v>9</v>
      </c>
      <c r="C782" t="s">
        <v>22</v>
      </c>
      <c r="D782" t="s">
        <v>11</v>
      </c>
      <c r="E782" t="s">
        <v>12</v>
      </c>
      <c r="F782" s="1">
        <v>91</v>
      </c>
      <c r="G782" s="1">
        <v>100</v>
      </c>
      <c r="H782" s="1">
        <v>100</v>
      </c>
      <c r="I782" s="1">
        <f t="shared" si="36"/>
        <v>97</v>
      </c>
      <c r="J782" t="str">
        <f t="shared" si="37"/>
        <v>Excellent</v>
      </c>
      <c r="K782" t="str">
        <f t="shared" si="38"/>
        <v>Pass</v>
      </c>
    </row>
    <row r="783" spans="1:11" x14ac:dyDescent="0.25">
      <c r="A783" t="s">
        <v>13</v>
      </c>
      <c r="B783" t="s">
        <v>14</v>
      </c>
      <c r="C783" t="s">
        <v>22</v>
      </c>
      <c r="D783" t="s">
        <v>11</v>
      </c>
      <c r="E783" t="s">
        <v>17</v>
      </c>
      <c r="F783" s="1">
        <v>71</v>
      </c>
      <c r="G783" s="1">
        <v>81</v>
      </c>
      <c r="H783" s="1">
        <v>80</v>
      </c>
      <c r="I783" s="1">
        <f t="shared" si="36"/>
        <v>77.333333333333329</v>
      </c>
      <c r="J783" t="str">
        <f t="shared" si="37"/>
        <v>Good</v>
      </c>
      <c r="K783" t="str">
        <f t="shared" si="38"/>
        <v>Pass</v>
      </c>
    </row>
    <row r="784" spans="1:11" x14ac:dyDescent="0.25">
      <c r="A784" t="s">
        <v>13</v>
      </c>
      <c r="B784" t="s">
        <v>14</v>
      </c>
      <c r="C784" t="s">
        <v>22</v>
      </c>
      <c r="D784" t="s">
        <v>11</v>
      </c>
      <c r="E784" t="s">
        <v>17</v>
      </c>
      <c r="F784" s="1">
        <v>84</v>
      </c>
      <c r="G784" s="1">
        <v>87</v>
      </c>
      <c r="H784" s="1">
        <v>92</v>
      </c>
      <c r="I784" s="1">
        <f t="shared" si="36"/>
        <v>87.666666666666671</v>
      </c>
      <c r="J784" t="str">
        <f t="shared" si="37"/>
        <v>Excellent</v>
      </c>
      <c r="K784" t="str">
        <f t="shared" si="38"/>
        <v>Pass</v>
      </c>
    </row>
    <row r="785" spans="1:11" x14ac:dyDescent="0.25">
      <c r="A785" t="s">
        <v>8</v>
      </c>
      <c r="B785" t="s">
        <v>18</v>
      </c>
      <c r="C785" t="s">
        <v>21</v>
      </c>
      <c r="D785" t="s">
        <v>16</v>
      </c>
      <c r="E785" t="s">
        <v>12</v>
      </c>
      <c r="F785" s="1">
        <v>63</v>
      </c>
      <c r="G785" s="1">
        <v>60</v>
      </c>
      <c r="H785" s="1">
        <v>63</v>
      </c>
      <c r="I785" s="1">
        <f t="shared" si="36"/>
        <v>62</v>
      </c>
      <c r="J785" t="str">
        <f t="shared" si="37"/>
        <v>Good</v>
      </c>
      <c r="K785" t="str">
        <f t="shared" si="38"/>
        <v>Pass</v>
      </c>
    </row>
    <row r="786" spans="1:11" x14ac:dyDescent="0.25">
      <c r="A786" t="s">
        <v>13</v>
      </c>
      <c r="B786" t="s">
        <v>9</v>
      </c>
      <c r="C786" t="s">
        <v>21</v>
      </c>
      <c r="D786" t="s">
        <v>11</v>
      </c>
      <c r="E786" t="s">
        <v>12</v>
      </c>
      <c r="F786" s="1">
        <v>70</v>
      </c>
      <c r="G786" s="1">
        <v>78</v>
      </c>
      <c r="H786" s="1">
        <v>87</v>
      </c>
      <c r="I786" s="1">
        <f t="shared" si="36"/>
        <v>78.333333333333329</v>
      </c>
      <c r="J786" t="str">
        <f t="shared" si="37"/>
        <v>Good</v>
      </c>
      <c r="K786" t="str">
        <f t="shared" si="38"/>
        <v>Pass</v>
      </c>
    </row>
    <row r="787" spans="1:11" x14ac:dyDescent="0.25">
      <c r="A787" t="s">
        <v>8</v>
      </c>
      <c r="B787" t="s">
        <v>20</v>
      </c>
      <c r="C787" t="s">
        <v>22</v>
      </c>
      <c r="D787" t="s">
        <v>16</v>
      </c>
      <c r="E787" t="s">
        <v>12</v>
      </c>
      <c r="F787" s="1">
        <v>48</v>
      </c>
      <c r="G787" s="1">
        <v>52</v>
      </c>
      <c r="H787" s="1">
        <v>57</v>
      </c>
      <c r="I787" s="1">
        <f t="shared" si="36"/>
        <v>52.333333333333336</v>
      </c>
      <c r="J787" t="str">
        <f t="shared" si="37"/>
        <v>Average</v>
      </c>
      <c r="K787" t="str">
        <f t="shared" si="38"/>
        <v>Pass</v>
      </c>
    </row>
    <row r="788" spans="1:11" x14ac:dyDescent="0.25">
      <c r="A788" t="s">
        <v>8</v>
      </c>
      <c r="B788" t="s">
        <v>14</v>
      </c>
      <c r="C788" t="s">
        <v>15</v>
      </c>
      <c r="D788" t="s">
        <v>11</v>
      </c>
      <c r="E788" t="s">
        <v>12</v>
      </c>
      <c r="F788" s="1">
        <v>68</v>
      </c>
      <c r="G788" s="1">
        <v>72</v>
      </c>
      <c r="H788" s="1">
        <v>73</v>
      </c>
      <c r="I788" s="1">
        <f t="shared" si="36"/>
        <v>71</v>
      </c>
      <c r="J788" t="str">
        <f t="shared" si="37"/>
        <v>Good</v>
      </c>
      <c r="K788" t="str">
        <f t="shared" si="38"/>
        <v>Pass</v>
      </c>
    </row>
    <row r="789" spans="1:11" x14ac:dyDescent="0.25">
      <c r="A789" t="s">
        <v>13</v>
      </c>
      <c r="B789" t="s">
        <v>14</v>
      </c>
      <c r="C789" t="s">
        <v>19</v>
      </c>
      <c r="D789" t="s">
        <v>11</v>
      </c>
      <c r="E789" t="s">
        <v>17</v>
      </c>
      <c r="F789" s="1">
        <v>84</v>
      </c>
      <c r="G789" s="1">
        <v>84</v>
      </c>
      <c r="H789" s="1">
        <v>87</v>
      </c>
      <c r="I789" s="1">
        <f t="shared" si="36"/>
        <v>85</v>
      </c>
      <c r="J789" t="str">
        <f t="shared" si="37"/>
        <v>Excellent</v>
      </c>
      <c r="K789" t="str">
        <f t="shared" si="38"/>
        <v>Pass</v>
      </c>
    </row>
    <row r="790" spans="1:11" x14ac:dyDescent="0.25">
      <c r="A790" t="s">
        <v>8</v>
      </c>
      <c r="B790" t="s">
        <v>14</v>
      </c>
      <c r="C790" t="s">
        <v>10</v>
      </c>
      <c r="D790" t="s">
        <v>11</v>
      </c>
      <c r="E790" t="s">
        <v>17</v>
      </c>
      <c r="F790" s="1">
        <v>61</v>
      </c>
      <c r="G790" s="1">
        <v>62</v>
      </c>
      <c r="H790" s="1">
        <v>60</v>
      </c>
      <c r="I790" s="1">
        <f t="shared" si="36"/>
        <v>61</v>
      </c>
      <c r="J790" t="str">
        <f t="shared" si="37"/>
        <v>Good</v>
      </c>
      <c r="K790" t="str">
        <f t="shared" si="38"/>
        <v>Pass</v>
      </c>
    </row>
    <row r="791" spans="1:11" x14ac:dyDescent="0.25">
      <c r="A791" t="s">
        <v>8</v>
      </c>
      <c r="B791" t="s">
        <v>23</v>
      </c>
      <c r="C791" t="s">
        <v>15</v>
      </c>
      <c r="D791" t="s">
        <v>16</v>
      </c>
      <c r="E791" t="s">
        <v>17</v>
      </c>
      <c r="F791" s="1">
        <v>62</v>
      </c>
      <c r="G791" s="1">
        <v>59</v>
      </c>
      <c r="H791" s="1">
        <v>62</v>
      </c>
      <c r="I791" s="1">
        <f t="shared" si="36"/>
        <v>61</v>
      </c>
      <c r="J791" t="str">
        <f t="shared" si="37"/>
        <v>Good</v>
      </c>
      <c r="K791" t="str">
        <f t="shared" si="38"/>
        <v>Pass</v>
      </c>
    </row>
    <row r="792" spans="1:11" x14ac:dyDescent="0.25">
      <c r="A792" t="s">
        <v>13</v>
      </c>
      <c r="B792" t="s">
        <v>23</v>
      </c>
      <c r="C792" t="s">
        <v>24</v>
      </c>
      <c r="D792" t="s">
        <v>16</v>
      </c>
      <c r="E792" t="s">
        <v>17</v>
      </c>
      <c r="F792" s="1">
        <v>66</v>
      </c>
      <c r="G792" s="1">
        <v>78</v>
      </c>
      <c r="H792" s="1">
        <v>83</v>
      </c>
      <c r="I792" s="1">
        <f t="shared" si="36"/>
        <v>75.666666666666671</v>
      </c>
      <c r="J792" t="str">
        <f t="shared" si="37"/>
        <v>Good</v>
      </c>
      <c r="K792" t="str">
        <f t="shared" si="38"/>
        <v>Pass</v>
      </c>
    </row>
    <row r="793" spans="1:11" x14ac:dyDescent="0.25">
      <c r="A793" t="s">
        <v>13</v>
      </c>
      <c r="B793" t="s">
        <v>23</v>
      </c>
      <c r="C793" t="s">
        <v>10</v>
      </c>
      <c r="D793" t="s">
        <v>11</v>
      </c>
      <c r="E793" t="s">
        <v>12</v>
      </c>
      <c r="F793" s="1">
        <v>52</v>
      </c>
      <c r="G793" s="1">
        <v>65</v>
      </c>
      <c r="H793" s="1">
        <v>71</v>
      </c>
      <c r="I793" s="1">
        <f t="shared" si="36"/>
        <v>62.666666666666664</v>
      </c>
      <c r="J793" t="str">
        <f t="shared" si="37"/>
        <v>Good</v>
      </c>
      <c r="K793" t="str">
        <f t="shared" si="38"/>
        <v>Pass</v>
      </c>
    </row>
    <row r="794" spans="1:11" x14ac:dyDescent="0.25">
      <c r="A794" t="s">
        <v>13</v>
      </c>
      <c r="B794" t="s">
        <v>14</v>
      </c>
      <c r="C794" t="s">
        <v>19</v>
      </c>
      <c r="D794" t="s">
        <v>11</v>
      </c>
      <c r="E794" t="s">
        <v>12</v>
      </c>
      <c r="F794" s="1">
        <v>68</v>
      </c>
      <c r="G794" s="1">
        <v>75</v>
      </c>
      <c r="H794" s="1">
        <v>73</v>
      </c>
      <c r="I794" s="1">
        <f t="shared" si="36"/>
        <v>72</v>
      </c>
      <c r="J794" t="str">
        <f t="shared" si="37"/>
        <v>Good</v>
      </c>
      <c r="K794" t="str">
        <f t="shared" si="38"/>
        <v>Pass</v>
      </c>
    </row>
    <row r="795" spans="1:11" x14ac:dyDescent="0.25">
      <c r="A795" t="s">
        <v>8</v>
      </c>
      <c r="B795" t="s">
        <v>14</v>
      </c>
      <c r="C795" t="s">
        <v>19</v>
      </c>
      <c r="D795" t="s">
        <v>16</v>
      </c>
      <c r="E795" t="s">
        <v>12</v>
      </c>
      <c r="F795" s="1">
        <v>62</v>
      </c>
      <c r="G795" s="1">
        <v>68</v>
      </c>
      <c r="H795" s="1">
        <v>71</v>
      </c>
      <c r="I795" s="1">
        <f t="shared" si="36"/>
        <v>67</v>
      </c>
      <c r="J795" t="str">
        <f t="shared" si="37"/>
        <v>Good</v>
      </c>
      <c r="K795" t="str">
        <f t="shared" si="38"/>
        <v>Pass</v>
      </c>
    </row>
    <row r="796" spans="1:11" x14ac:dyDescent="0.25">
      <c r="A796" t="s">
        <v>8</v>
      </c>
      <c r="B796" t="s">
        <v>18</v>
      </c>
      <c r="C796" t="s">
        <v>22</v>
      </c>
      <c r="D796" t="s">
        <v>11</v>
      </c>
      <c r="E796" t="s">
        <v>12</v>
      </c>
      <c r="F796" s="1">
        <v>90</v>
      </c>
      <c r="G796" s="1">
        <v>88</v>
      </c>
      <c r="H796" s="1">
        <v>84</v>
      </c>
      <c r="I796" s="1">
        <f t="shared" si="36"/>
        <v>87.333333333333329</v>
      </c>
      <c r="J796" t="str">
        <f t="shared" si="37"/>
        <v>Excellent</v>
      </c>
      <c r="K796" t="str">
        <f t="shared" si="38"/>
        <v>Pass</v>
      </c>
    </row>
    <row r="797" spans="1:11" x14ac:dyDescent="0.25">
      <c r="A797" t="s">
        <v>13</v>
      </c>
      <c r="B797" t="s">
        <v>9</v>
      </c>
      <c r="C797" t="s">
        <v>24</v>
      </c>
      <c r="D797" t="s">
        <v>16</v>
      </c>
      <c r="E797" t="s">
        <v>17</v>
      </c>
      <c r="F797" s="1">
        <v>42</v>
      </c>
      <c r="G797" s="1">
        <v>50</v>
      </c>
      <c r="H797" s="1">
        <v>44</v>
      </c>
      <c r="I797" s="1">
        <f t="shared" si="36"/>
        <v>45.333333333333336</v>
      </c>
      <c r="J797" t="str">
        <f t="shared" si="37"/>
        <v>Average</v>
      </c>
      <c r="K797" t="str">
        <f t="shared" si="38"/>
        <v>Pass</v>
      </c>
    </row>
    <row r="798" spans="1:11" x14ac:dyDescent="0.25">
      <c r="A798" t="s">
        <v>8</v>
      </c>
      <c r="B798" t="s">
        <v>14</v>
      </c>
      <c r="C798" t="s">
        <v>21</v>
      </c>
      <c r="D798" t="s">
        <v>16</v>
      </c>
      <c r="E798" t="s">
        <v>12</v>
      </c>
      <c r="F798" s="1">
        <v>74</v>
      </c>
      <c r="G798" s="1">
        <v>90</v>
      </c>
      <c r="H798" s="1">
        <v>89</v>
      </c>
      <c r="I798" s="1">
        <f t="shared" si="36"/>
        <v>84.333333333333329</v>
      </c>
      <c r="J798" t="str">
        <f t="shared" si="37"/>
        <v>Excellent</v>
      </c>
      <c r="K798" t="str">
        <f t="shared" si="38"/>
        <v>Pass</v>
      </c>
    </row>
    <row r="799" spans="1:11" x14ac:dyDescent="0.25">
      <c r="A799" t="s">
        <v>8</v>
      </c>
      <c r="B799" t="s">
        <v>20</v>
      </c>
      <c r="C799" t="s">
        <v>21</v>
      </c>
      <c r="D799" t="s">
        <v>11</v>
      </c>
      <c r="E799" t="s">
        <v>12</v>
      </c>
      <c r="F799" s="1">
        <v>62</v>
      </c>
      <c r="G799" s="1">
        <v>61</v>
      </c>
      <c r="H799" s="1">
        <v>61</v>
      </c>
      <c r="I799" s="1">
        <f t="shared" si="36"/>
        <v>61.333333333333336</v>
      </c>
      <c r="J799" t="str">
        <f t="shared" si="37"/>
        <v>Good</v>
      </c>
      <c r="K799" t="str">
        <f t="shared" si="38"/>
        <v>Pass</v>
      </c>
    </row>
    <row r="800" spans="1:11" x14ac:dyDescent="0.25">
      <c r="A800" t="s">
        <v>8</v>
      </c>
      <c r="B800" t="s">
        <v>23</v>
      </c>
      <c r="C800" t="s">
        <v>19</v>
      </c>
      <c r="D800" t="s">
        <v>11</v>
      </c>
      <c r="E800" t="s">
        <v>17</v>
      </c>
      <c r="F800" s="1">
        <v>56</v>
      </c>
      <c r="G800" s="1">
        <v>55</v>
      </c>
      <c r="H800" s="1">
        <v>50</v>
      </c>
      <c r="I800" s="1">
        <f t="shared" si="36"/>
        <v>53.666666666666664</v>
      </c>
      <c r="J800" t="str">
        <f t="shared" si="37"/>
        <v>Average</v>
      </c>
      <c r="K800" t="str">
        <f t="shared" si="38"/>
        <v>Pass</v>
      </c>
    </row>
    <row r="801" spans="1:11" x14ac:dyDescent="0.25">
      <c r="A801" t="s">
        <v>8</v>
      </c>
      <c r="B801" t="s">
        <v>23</v>
      </c>
      <c r="C801" t="s">
        <v>10</v>
      </c>
      <c r="D801" t="s">
        <v>16</v>
      </c>
      <c r="E801" t="s">
        <v>17</v>
      </c>
      <c r="F801" s="1">
        <v>64</v>
      </c>
      <c r="G801" s="1">
        <v>52</v>
      </c>
      <c r="H801" s="1">
        <v>54</v>
      </c>
      <c r="I801" s="1">
        <f t="shared" si="36"/>
        <v>56.666666666666664</v>
      </c>
      <c r="J801" t="str">
        <f t="shared" si="37"/>
        <v>Average</v>
      </c>
      <c r="K801" t="str">
        <f t="shared" si="38"/>
        <v>Pass</v>
      </c>
    </row>
    <row r="802" spans="1:11" x14ac:dyDescent="0.25">
      <c r="A802" t="s">
        <v>8</v>
      </c>
      <c r="B802" t="s">
        <v>14</v>
      </c>
      <c r="C802" t="s">
        <v>10</v>
      </c>
      <c r="D802" t="s">
        <v>11</v>
      </c>
      <c r="E802" t="s">
        <v>12</v>
      </c>
      <c r="F802" s="1">
        <v>79</v>
      </c>
      <c r="G802" s="1">
        <v>84</v>
      </c>
      <c r="H802" s="1">
        <v>80</v>
      </c>
      <c r="I802" s="1">
        <f t="shared" si="36"/>
        <v>81</v>
      </c>
      <c r="J802" t="str">
        <f t="shared" si="37"/>
        <v>Excellent</v>
      </c>
      <c r="K802" t="str">
        <f t="shared" si="38"/>
        <v>Pass</v>
      </c>
    </row>
    <row r="803" spans="1:11" x14ac:dyDescent="0.25">
      <c r="A803" t="s">
        <v>13</v>
      </c>
      <c r="B803" t="s">
        <v>23</v>
      </c>
      <c r="C803" t="s">
        <v>15</v>
      </c>
      <c r="D803" t="s">
        <v>11</v>
      </c>
      <c r="E803" t="s">
        <v>17</v>
      </c>
      <c r="F803" s="1">
        <v>44</v>
      </c>
      <c r="G803" s="1">
        <v>65</v>
      </c>
      <c r="H803" s="1">
        <v>63</v>
      </c>
      <c r="I803" s="1">
        <f t="shared" si="36"/>
        <v>57.333333333333336</v>
      </c>
      <c r="J803" t="str">
        <f t="shared" si="37"/>
        <v>Average</v>
      </c>
      <c r="K803" t="str">
        <f t="shared" si="38"/>
        <v>Pass</v>
      </c>
    </row>
    <row r="804" spans="1:11" x14ac:dyDescent="0.25">
      <c r="A804" t="s">
        <v>13</v>
      </c>
      <c r="B804" t="s">
        <v>20</v>
      </c>
      <c r="C804" t="s">
        <v>19</v>
      </c>
      <c r="D804" t="s">
        <v>11</v>
      </c>
      <c r="E804" t="s">
        <v>12</v>
      </c>
      <c r="F804" s="1">
        <v>69</v>
      </c>
      <c r="G804" s="1">
        <v>94</v>
      </c>
      <c r="H804" s="1">
        <v>87</v>
      </c>
      <c r="I804" s="1">
        <f t="shared" si="36"/>
        <v>83.333333333333329</v>
      </c>
      <c r="J804" t="str">
        <f t="shared" si="37"/>
        <v>Excellent</v>
      </c>
      <c r="K804" t="str">
        <f t="shared" si="38"/>
        <v>Pass</v>
      </c>
    </row>
    <row r="805" spans="1:11" x14ac:dyDescent="0.25">
      <c r="A805" t="s">
        <v>8</v>
      </c>
      <c r="B805" t="s">
        <v>9</v>
      </c>
      <c r="C805" t="s">
        <v>19</v>
      </c>
      <c r="D805" t="s">
        <v>11</v>
      </c>
      <c r="E805" t="s">
        <v>17</v>
      </c>
      <c r="F805" s="1">
        <v>53</v>
      </c>
      <c r="G805" s="1">
        <v>48</v>
      </c>
      <c r="H805" s="1">
        <v>48</v>
      </c>
      <c r="I805" s="1">
        <f t="shared" si="36"/>
        <v>49.666666666666664</v>
      </c>
      <c r="J805" t="str">
        <f t="shared" si="37"/>
        <v>Average</v>
      </c>
      <c r="K805" t="str">
        <f t="shared" si="38"/>
        <v>Pass</v>
      </c>
    </row>
    <row r="806" spans="1:11" x14ac:dyDescent="0.25">
      <c r="A806" t="s">
        <v>8</v>
      </c>
      <c r="B806" t="s">
        <v>23</v>
      </c>
      <c r="C806" t="s">
        <v>10</v>
      </c>
      <c r="D806" t="s">
        <v>11</v>
      </c>
      <c r="E806" t="s">
        <v>17</v>
      </c>
      <c r="F806" s="1">
        <v>74</v>
      </c>
      <c r="G806" s="1">
        <v>69</v>
      </c>
      <c r="H806" s="1">
        <v>61</v>
      </c>
      <c r="I806" s="1">
        <f t="shared" si="36"/>
        <v>68</v>
      </c>
      <c r="J806" t="str">
        <f t="shared" si="37"/>
        <v>Good</v>
      </c>
      <c r="K806" t="str">
        <f t="shared" si="38"/>
        <v>Pass</v>
      </c>
    </row>
    <row r="807" spans="1:11" x14ac:dyDescent="0.25">
      <c r="A807" t="s">
        <v>8</v>
      </c>
      <c r="B807" t="s">
        <v>23</v>
      </c>
      <c r="C807" t="s">
        <v>21</v>
      </c>
      <c r="D807" t="s">
        <v>11</v>
      </c>
      <c r="E807" t="s">
        <v>17</v>
      </c>
      <c r="F807" s="1">
        <v>49</v>
      </c>
      <c r="G807" s="1">
        <v>55</v>
      </c>
      <c r="H807" s="1">
        <v>48</v>
      </c>
      <c r="I807" s="1">
        <f t="shared" si="36"/>
        <v>50.666666666666664</v>
      </c>
      <c r="J807" t="str">
        <f t="shared" si="37"/>
        <v>Average</v>
      </c>
      <c r="K807" t="str">
        <f t="shared" si="38"/>
        <v>Pass</v>
      </c>
    </row>
    <row r="808" spans="1:11" x14ac:dyDescent="0.25">
      <c r="A808" t="s">
        <v>13</v>
      </c>
      <c r="B808" t="s">
        <v>14</v>
      </c>
      <c r="C808" t="s">
        <v>21</v>
      </c>
      <c r="D808" t="s">
        <v>16</v>
      </c>
      <c r="E808" t="s">
        <v>17</v>
      </c>
      <c r="F808" s="1">
        <v>57</v>
      </c>
      <c r="G808" s="1">
        <v>71</v>
      </c>
      <c r="H808" s="1">
        <v>71</v>
      </c>
      <c r="I808" s="1">
        <f t="shared" si="36"/>
        <v>66.333333333333329</v>
      </c>
      <c r="J808" t="str">
        <f t="shared" si="37"/>
        <v>Good</v>
      </c>
      <c r="K808" t="str">
        <f t="shared" si="38"/>
        <v>Pass</v>
      </c>
    </row>
    <row r="809" spans="1:11" x14ac:dyDescent="0.25">
      <c r="A809" t="s">
        <v>13</v>
      </c>
      <c r="B809" t="s">
        <v>14</v>
      </c>
      <c r="C809" t="s">
        <v>24</v>
      </c>
      <c r="D809" t="s">
        <v>11</v>
      </c>
      <c r="E809" t="s">
        <v>17</v>
      </c>
      <c r="F809" s="1">
        <v>61</v>
      </c>
      <c r="G809" s="1">
        <v>72</v>
      </c>
      <c r="H809" s="1">
        <v>64</v>
      </c>
      <c r="I809" s="1">
        <f t="shared" si="36"/>
        <v>65.666666666666671</v>
      </c>
      <c r="J809" t="str">
        <f t="shared" si="37"/>
        <v>Good</v>
      </c>
      <c r="K809" t="str">
        <f t="shared" si="38"/>
        <v>Pass</v>
      </c>
    </row>
    <row r="810" spans="1:11" x14ac:dyDescent="0.25">
      <c r="A810" t="s">
        <v>13</v>
      </c>
      <c r="B810" t="s">
        <v>23</v>
      </c>
      <c r="C810" t="s">
        <v>24</v>
      </c>
      <c r="D810" t="s">
        <v>16</v>
      </c>
      <c r="E810" t="s">
        <v>17</v>
      </c>
      <c r="F810" s="1">
        <v>65</v>
      </c>
      <c r="G810" s="1">
        <v>88</v>
      </c>
      <c r="H810" s="1">
        <v>84</v>
      </c>
      <c r="I810" s="1">
        <f t="shared" si="36"/>
        <v>79</v>
      </c>
      <c r="J810" t="str">
        <f t="shared" si="37"/>
        <v>Good</v>
      </c>
      <c r="K810" t="str">
        <f t="shared" si="38"/>
        <v>Pass</v>
      </c>
    </row>
    <row r="811" spans="1:11" x14ac:dyDescent="0.25">
      <c r="A811" t="s">
        <v>13</v>
      </c>
      <c r="B811" t="s">
        <v>23</v>
      </c>
      <c r="C811" t="s">
        <v>19</v>
      </c>
      <c r="D811" t="s">
        <v>11</v>
      </c>
      <c r="E811" t="s">
        <v>17</v>
      </c>
      <c r="F811" s="1">
        <v>51</v>
      </c>
      <c r="G811" s="1">
        <v>60</v>
      </c>
      <c r="H811" s="1">
        <v>52</v>
      </c>
      <c r="I811" s="1">
        <f t="shared" si="36"/>
        <v>54.333333333333336</v>
      </c>
      <c r="J811" t="str">
        <f t="shared" si="37"/>
        <v>Average</v>
      </c>
      <c r="K811" t="str">
        <f t="shared" si="38"/>
        <v>Pass</v>
      </c>
    </row>
    <row r="812" spans="1:11" x14ac:dyDescent="0.25">
      <c r="A812" t="s">
        <v>13</v>
      </c>
      <c r="B812" t="s">
        <v>23</v>
      </c>
      <c r="C812" t="s">
        <v>15</v>
      </c>
      <c r="D812" t="s">
        <v>11</v>
      </c>
      <c r="E812" t="s">
        <v>17</v>
      </c>
      <c r="F812" s="1">
        <v>49</v>
      </c>
      <c r="G812" s="1">
        <v>51</v>
      </c>
      <c r="H812" s="1">
        <v>41</v>
      </c>
      <c r="I812" s="1">
        <f t="shared" si="36"/>
        <v>47</v>
      </c>
      <c r="J812" t="str">
        <f t="shared" si="37"/>
        <v>Average</v>
      </c>
      <c r="K812" t="str">
        <f t="shared" si="38"/>
        <v>Pass</v>
      </c>
    </row>
    <row r="813" spans="1:11" x14ac:dyDescent="0.25">
      <c r="A813" t="s">
        <v>8</v>
      </c>
      <c r="B813" t="s">
        <v>20</v>
      </c>
      <c r="C813" t="s">
        <v>24</v>
      </c>
      <c r="D813" t="s">
        <v>16</v>
      </c>
      <c r="E813" t="s">
        <v>17</v>
      </c>
      <c r="F813" s="1">
        <v>56</v>
      </c>
      <c r="G813" s="1">
        <v>65</v>
      </c>
      <c r="H813" s="1">
        <v>56</v>
      </c>
      <c r="I813" s="1">
        <f t="shared" si="36"/>
        <v>59</v>
      </c>
      <c r="J813" t="str">
        <f t="shared" si="37"/>
        <v>Average</v>
      </c>
      <c r="K813" t="str">
        <f t="shared" si="38"/>
        <v>Pass</v>
      </c>
    </row>
    <row r="814" spans="1:11" x14ac:dyDescent="0.25">
      <c r="A814" t="s">
        <v>8</v>
      </c>
      <c r="B814" t="s">
        <v>14</v>
      </c>
      <c r="C814" t="s">
        <v>21</v>
      </c>
      <c r="D814" t="s">
        <v>11</v>
      </c>
      <c r="E814" t="s">
        <v>17</v>
      </c>
      <c r="F814" s="1">
        <v>65</v>
      </c>
      <c r="G814" s="1">
        <v>62</v>
      </c>
      <c r="H814" s="1">
        <v>63</v>
      </c>
      <c r="I814" s="1">
        <f t="shared" si="36"/>
        <v>63.333333333333336</v>
      </c>
      <c r="J814" t="str">
        <f t="shared" si="37"/>
        <v>Good</v>
      </c>
      <c r="K814" t="str">
        <f t="shared" si="38"/>
        <v>Pass</v>
      </c>
    </row>
    <row r="815" spans="1:11" x14ac:dyDescent="0.25">
      <c r="A815" t="s">
        <v>8</v>
      </c>
      <c r="B815" t="s">
        <v>14</v>
      </c>
      <c r="C815" t="s">
        <v>19</v>
      </c>
      <c r="D815" t="s">
        <v>11</v>
      </c>
      <c r="E815" t="s">
        <v>17</v>
      </c>
      <c r="F815" s="1">
        <v>70</v>
      </c>
      <c r="G815" s="1">
        <v>64</v>
      </c>
      <c r="H815" s="1">
        <v>62</v>
      </c>
      <c r="I815" s="1">
        <f t="shared" si="36"/>
        <v>65.333333333333329</v>
      </c>
      <c r="J815" t="str">
        <f t="shared" si="37"/>
        <v>Good</v>
      </c>
      <c r="K815" t="str">
        <f t="shared" si="38"/>
        <v>Pass</v>
      </c>
    </row>
    <row r="816" spans="1:11" x14ac:dyDescent="0.25">
      <c r="A816" t="s">
        <v>8</v>
      </c>
      <c r="B816" t="s">
        <v>14</v>
      </c>
      <c r="C816" t="s">
        <v>19</v>
      </c>
      <c r="D816" t="s">
        <v>11</v>
      </c>
      <c r="E816" t="s">
        <v>17</v>
      </c>
      <c r="F816" s="1">
        <v>91</v>
      </c>
      <c r="G816" s="1">
        <v>95</v>
      </c>
      <c r="H816" s="1">
        <v>88</v>
      </c>
      <c r="I816" s="1">
        <f t="shared" si="36"/>
        <v>91.333333333333329</v>
      </c>
      <c r="J816" t="str">
        <f t="shared" si="37"/>
        <v>Excellent</v>
      </c>
      <c r="K816" t="str">
        <f t="shared" si="38"/>
        <v>Pass</v>
      </c>
    </row>
    <row r="817" spans="1:11" x14ac:dyDescent="0.25">
      <c r="A817" t="s">
        <v>13</v>
      </c>
      <c r="B817" t="s">
        <v>14</v>
      </c>
      <c r="C817" t="s">
        <v>10</v>
      </c>
      <c r="D817" t="s">
        <v>11</v>
      </c>
      <c r="E817" t="s">
        <v>12</v>
      </c>
      <c r="F817" s="1">
        <v>48</v>
      </c>
      <c r="G817" s="1">
        <v>56</v>
      </c>
      <c r="H817" s="1">
        <v>64</v>
      </c>
      <c r="I817" s="1">
        <f t="shared" si="36"/>
        <v>56</v>
      </c>
      <c r="J817" t="str">
        <f t="shared" si="37"/>
        <v>Average</v>
      </c>
      <c r="K817" t="str">
        <f t="shared" si="38"/>
        <v>Pass</v>
      </c>
    </row>
    <row r="818" spans="1:11" x14ac:dyDescent="0.25">
      <c r="A818" t="s">
        <v>13</v>
      </c>
      <c r="B818" t="s">
        <v>23</v>
      </c>
      <c r="C818" t="s">
        <v>21</v>
      </c>
      <c r="D818" t="s">
        <v>11</v>
      </c>
      <c r="E818" t="s">
        <v>12</v>
      </c>
      <c r="F818" s="1">
        <v>94</v>
      </c>
      <c r="G818" s="1">
        <v>99</v>
      </c>
      <c r="H818" s="1">
        <v>100</v>
      </c>
      <c r="I818" s="1">
        <f t="shared" si="36"/>
        <v>97.666666666666671</v>
      </c>
      <c r="J818" t="str">
        <f t="shared" si="37"/>
        <v>Excellent</v>
      </c>
      <c r="K818" t="str">
        <f t="shared" si="38"/>
        <v>Pass</v>
      </c>
    </row>
    <row r="819" spans="1:11" x14ac:dyDescent="0.25">
      <c r="A819" t="s">
        <v>8</v>
      </c>
      <c r="B819" t="s">
        <v>20</v>
      </c>
      <c r="C819" t="s">
        <v>24</v>
      </c>
      <c r="D819" t="s">
        <v>11</v>
      </c>
      <c r="E819" t="s">
        <v>17</v>
      </c>
      <c r="F819" s="1">
        <v>77</v>
      </c>
      <c r="G819" s="1">
        <v>76</v>
      </c>
      <c r="H819" s="1">
        <v>73</v>
      </c>
      <c r="I819" s="1">
        <f t="shared" si="36"/>
        <v>75.333333333333329</v>
      </c>
      <c r="J819" t="str">
        <f t="shared" si="37"/>
        <v>Good</v>
      </c>
      <c r="K819" t="str">
        <f t="shared" si="38"/>
        <v>Pass</v>
      </c>
    </row>
    <row r="820" spans="1:11" x14ac:dyDescent="0.25">
      <c r="A820" t="s">
        <v>13</v>
      </c>
      <c r="B820" t="s">
        <v>14</v>
      </c>
      <c r="C820" t="s">
        <v>15</v>
      </c>
      <c r="D820" t="s">
        <v>11</v>
      </c>
      <c r="E820" t="s">
        <v>17</v>
      </c>
      <c r="F820" s="1">
        <v>59</v>
      </c>
      <c r="G820" s="1">
        <v>78</v>
      </c>
      <c r="H820" s="1">
        <v>75</v>
      </c>
      <c r="I820" s="1">
        <f t="shared" si="36"/>
        <v>70.666666666666671</v>
      </c>
      <c r="J820" t="str">
        <f t="shared" si="37"/>
        <v>Good</v>
      </c>
      <c r="K820" t="str">
        <f t="shared" si="38"/>
        <v>Pass</v>
      </c>
    </row>
    <row r="821" spans="1:11" x14ac:dyDescent="0.25">
      <c r="A821" t="s">
        <v>13</v>
      </c>
      <c r="B821" t="s">
        <v>23</v>
      </c>
      <c r="C821" t="s">
        <v>19</v>
      </c>
      <c r="D821" t="s">
        <v>16</v>
      </c>
      <c r="E821" t="s">
        <v>17</v>
      </c>
      <c r="F821" s="1">
        <v>57</v>
      </c>
      <c r="G821" s="1">
        <v>75</v>
      </c>
      <c r="H821" s="1">
        <v>70</v>
      </c>
      <c r="I821" s="1">
        <f t="shared" si="36"/>
        <v>67.333333333333329</v>
      </c>
      <c r="J821" t="str">
        <f t="shared" si="37"/>
        <v>Good</v>
      </c>
      <c r="K821" t="str">
        <f t="shared" si="38"/>
        <v>Pass</v>
      </c>
    </row>
    <row r="822" spans="1:11" x14ac:dyDescent="0.25">
      <c r="A822" t="s">
        <v>13</v>
      </c>
      <c r="B822" t="s">
        <v>23</v>
      </c>
      <c r="C822" t="s">
        <v>15</v>
      </c>
      <c r="D822" t="s">
        <v>11</v>
      </c>
      <c r="E822" t="s">
        <v>17</v>
      </c>
      <c r="F822" s="1">
        <v>76</v>
      </c>
      <c r="G822" s="1">
        <v>82</v>
      </c>
      <c r="H822" s="1">
        <v>74</v>
      </c>
      <c r="I822" s="1">
        <f t="shared" si="36"/>
        <v>77.333333333333329</v>
      </c>
      <c r="J822" t="str">
        <f t="shared" si="37"/>
        <v>Good</v>
      </c>
      <c r="K822" t="str">
        <f t="shared" si="38"/>
        <v>Pass</v>
      </c>
    </row>
    <row r="823" spans="1:11" x14ac:dyDescent="0.25">
      <c r="A823" t="s">
        <v>8</v>
      </c>
      <c r="B823" t="s">
        <v>14</v>
      </c>
      <c r="C823" t="s">
        <v>10</v>
      </c>
      <c r="D823" t="s">
        <v>11</v>
      </c>
      <c r="E823" t="s">
        <v>17</v>
      </c>
      <c r="F823" s="1">
        <v>65</v>
      </c>
      <c r="G823" s="1">
        <v>63</v>
      </c>
      <c r="H823" s="1">
        <v>64</v>
      </c>
      <c r="I823" s="1">
        <f t="shared" si="36"/>
        <v>64</v>
      </c>
      <c r="J823" t="str">
        <f t="shared" si="37"/>
        <v>Good</v>
      </c>
      <c r="K823" t="str">
        <f t="shared" si="38"/>
        <v>Pass</v>
      </c>
    </row>
    <row r="824" spans="1:11" x14ac:dyDescent="0.25">
      <c r="A824" t="s">
        <v>13</v>
      </c>
      <c r="B824" t="s">
        <v>20</v>
      </c>
      <c r="C824" t="s">
        <v>24</v>
      </c>
      <c r="D824" t="s">
        <v>11</v>
      </c>
      <c r="E824" t="s">
        <v>12</v>
      </c>
      <c r="F824" s="1">
        <v>75</v>
      </c>
      <c r="G824" s="1">
        <v>75</v>
      </c>
      <c r="H824" s="1">
        <v>83</v>
      </c>
      <c r="I824" s="1">
        <f t="shared" si="36"/>
        <v>77.666666666666671</v>
      </c>
      <c r="J824" t="str">
        <f t="shared" si="37"/>
        <v>Good</v>
      </c>
      <c r="K824" t="str">
        <f t="shared" si="38"/>
        <v>Pass</v>
      </c>
    </row>
    <row r="825" spans="1:11" x14ac:dyDescent="0.25">
      <c r="A825" t="s">
        <v>8</v>
      </c>
      <c r="B825" t="s">
        <v>14</v>
      </c>
      <c r="C825" t="s">
        <v>24</v>
      </c>
      <c r="D825" t="s">
        <v>11</v>
      </c>
      <c r="E825" t="s">
        <v>17</v>
      </c>
      <c r="F825" s="1">
        <v>70</v>
      </c>
      <c r="G825" s="1">
        <v>66</v>
      </c>
      <c r="H825" s="1">
        <v>65</v>
      </c>
      <c r="I825" s="1">
        <f t="shared" si="36"/>
        <v>67</v>
      </c>
      <c r="J825" t="str">
        <f t="shared" si="37"/>
        <v>Good</v>
      </c>
      <c r="K825" t="str">
        <f t="shared" si="38"/>
        <v>Pass</v>
      </c>
    </row>
    <row r="826" spans="1:11" x14ac:dyDescent="0.25">
      <c r="A826" t="s">
        <v>8</v>
      </c>
      <c r="B826" t="s">
        <v>23</v>
      </c>
      <c r="C826" t="s">
        <v>10</v>
      </c>
      <c r="D826" t="s">
        <v>11</v>
      </c>
      <c r="E826" t="s">
        <v>12</v>
      </c>
      <c r="F826" s="1">
        <v>79</v>
      </c>
      <c r="G826" s="1">
        <v>79</v>
      </c>
      <c r="H826" s="1">
        <v>70</v>
      </c>
      <c r="I826" s="1">
        <f t="shared" si="36"/>
        <v>76</v>
      </c>
      <c r="J826" t="str">
        <f t="shared" si="37"/>
        <v>Good</v>
      </c>
      <c r="K826" t="str">
        <f t="shared" si="38"/>
        <v>Pass</v>
      </c>
    </row>
    <row r="827" spans="1:11" x14ac:dyDescent="0.25">
      <c r="A827" t="s">
        <v>13</v>
      </c>
      <c r="B827" t="s">
        <v>9</v>
      </c>
      <c r="C827" t="s">
        <v>22</v>
      </c>
      <c r="D827" t="s">
        <v>11</v>
      </c>
      <c r="E827" t="s">
        <v>12</v>
      </c>
      <c r="F827" s="1">
        <v>83</v>
      </c>
      <c r="G827" s="1">
        <v>96</v>
      </c>
      <c r="H827" s="1">
        <v>99</v>
      </c>
      <c r="I827" s="1">
        <f t="shared" si="36"/>
        <v>92.666666666666671</v>
      </c>
      <c r="J827" t="str">
        <f t="shared" si="37"/>
        <v>Excellent</v>
      </c>
      <c r="K827" t="str">
        <f t="shared" si="38"/>
        <v>Pass</v>
      </c>
    </row>
    <row r="828" spans="1:11" x14ac:dyDescent="0.25">
      <c r="A828" t="s">
        <v>13</v>
      </c>
      <c r="B828" t="s">
        <v>23</v>
      </c>
      <c r="C828" t="s">
        <v>21</v>
      </c>
      <c r="D828" t="s">
        <v>16</v>
      </c>
      <c r="E828" t="s">
        <v>17</v>
      </c>
      <c r="F828" s="1">
        <v>70</v>
      </c>
      <c r="G828" s="1">
        <v>84</v>
      </c>
      <c r="H828" s="1">
        <v>78</v>
      </c>
      <c r="I828" s="1">
        <f t="shared" si="36"/>
        <v>77.333333333333329</v>
      </c>
      <c r="J828" t="str">
        <f t="shared" si="37"/>
        <v>Good</v>
      </c>
      <c r="K828" t="str">
        <f t="shared" si="38"/>
        <v>Pass</v>
      </c>
    </row>
    <row r="829" spans="1:11" x14ac:dyDescent="0.25">
      <c r="A829" t="s">
        <v>8</v>
      </c>
      <c r="B829" t="s">
        <v>18</v>
      </c>
      <c r="C829" t="s">
        <v>15</v>
      </c>
      <c r="D829" t="s">
        <v>11</v>
      </c>
      <c r="E829" t="s">
        <v>12</v>
      </c>
      <c r="F829" s="1">
        <v>97</v>
      </c>
      <c r="G829" s="1">
        <v>80</v>
      </c>
      <c r="H829" s="1">
        <v>88</v>
      </c>
      <c r="I829" s="1">
        <f t="shared" si="36"/>
        <v>88.333333333333329</v>
      </c>
      <c r="J829" t="str">
        <f t="shared" si="37"/>
        <v>Excellent</v>
      </c>
      <c r="K829" t="str">
        <f t="shared" si="38"/>
        <v>Pass</v>
      </c>
    </row>
    <row r="830" spans="1:11" x14ac:dyDescent="0.25">
      <c r="A830" t="s">
        <v>13</v>
      </c>
      <c r="B830" t="s">
        <v>18</v>
      </c>
      <c r="C830" t="s">
        <v>10</v>
      </c>
      <c r="D830" t="s">
        <v>16</v>
      </c>
      <c r="E830" t="s">
        <v>17</v>
      </c>
      <c r="F830" s="1">
        <v>33</v>
      </c>
      <c r="G830" s="1">
        <v>32</v>
      </c>
      <c r="H830" s="1">
        <v>35</v>
      </c>
      <c r="I830" s="1">
        <f t="shared" si="36"/>
        <v>33.333333333333336</v>
      </c>
      <c r="J830" t="str">
        <f t="shared" si="37"/>
        <v>Poor</v>
      </c>
      <c r="K830" t="str">
        <f t="shared" si="38"/>
        <v>Fail</v>
      </c>
    </row>
    <row r="831" spans="1:11" x14ac:dyDescent="0.25">
      <c r="A831" t="s">
        <v>8</v>
      </c>
      <c r="B831" t="s">
        <v>20</v>
      </c>
      <c r="C831" t="s">
        <v>24</v>
      </c>
      <c r="D831" t="s">
        <v>16</v>
      </c>
      <c r="E831" t="s">
        <v>17</v>
      </c>
      <c r="F831" s="1">
        <v>38</v>
      </c>
      <c r="G831" s="1">
        <v>40</v>
      </c>
      <c r="H831" s="1">
        <v>41</v>
      </c>
      <c r="I831" s="1">
        <f t="shared" si="36"/>
        <v>39.666666666666664</v>
      </c>
      <c r="J831" t="str">
        <f t="shared" si="37"/>
        <v>Poor</v>
      </c>
      <c r="K831" t="str">
        <f t="shared" si="38"/>
        <v>Fail</v>
      </c>
    </row>
    <row r="832" spans="1:11" x14ac:dyDescent="0.25">
      <c r="A832" t="s">
        <v>8</v>
      </c>
      <c r="B832" t="s">
        <v>23</v>
      </c>
      <c r="C832" t="s">
        <v>19</v>
      </c>
      <c r="D832" t="s">
        <v>11</v>
      </c>
      <c r="E832" t="s">
        <v>12</v>
      </c>
      <c r="F832" s="1">
        <v>46</v>
      </c>
      <c r="G832" s="1">
        <v>51</v>
      </c>
      <c r="H832" s="1">
        <v>47</v>
      </c>
      <c r="I832" s="1">
        <f t="shared" si="36"/>
        <v>48</v>
      </c>
      <c r="J832" t="str">
        <f t="shared" si="37"/>
        <v>Average</v>
      </c>
      <c r="K832" t="str">
        <f t="shared" si="38"/>
        <v>Pass</v>
      </c>
    </row>
    <row r="833" spans="1:11" x14ac:dyDescent="0.25">
      <c r="A833" t="s">
        <v>13</v>
      </c>
      <c r="B833" t="s">
        <v>14</v>
      </c>
      <c r="C833" t="s">
        <v>19</v>
      </c>
      <c r="D833" t="s">
        <v>16</v>
      </c>
      <c r="E833" t="s">
        <v>17</v>
      </c>
      <c r="F833" s="1">
        <v>13</v>
      </c>
      <c r="G833" s="1">
        <v>36</v>
      </c>
      <c r="H833" s="1">
        <v>37</v>
      </c>
      <c r="I833" s="1">
        <f t="shared" si="36"/>
        <v>28.666666666666668</v>
      </c>
      <c r="J833" t="str">
        <f t="shared" si="37"/>
        <v>Poor</v>
      </c>
      <c r="K833" t="str">
        <f t="shared" si="38"/>
        <v>Fail</v>
      </c>
    </row>
    <row r="834" spans="1:11" x14ac:dyDescent="0.25">
      <c r="A834" t="s">
        <v>8</v>
      </c>
      <c r="B834" t="s">
        <v>9</v>
      </c>
      <c r="C834" t="s">
        <v>24</v>
      </c>
      <c r="D834" t="s">
        <v>11</v>
      </c>
      <c r="E834" t="s">
        <v>17</v>
      </c>
      <c r="F834" s="1">
        <v>85</v>
      </c>
      <c r="G834" s="1">
        <v>83</v>
      </c>
      <c r="H834" s="1">
        <v>78</v>
      </c>
      <c r="I834" s="1">
        <f t="shared" ref="I834:I897" si="39">AVERAGE(F834:H834)</f>
        <v>82</v>
      </c>
      <c r="J834" t="str">
        <f t="shared" ref="J834:J897" si="40">IF(I834&gt;=80,"Excellent", IF(I834&gt;=60,"Good", IF(I834&gt;=40,"Average","Poor")))</f>
        <v>Excellent</v>
      </c>
      <c r="K834" t="str">
        <f t="shared" ref="K834:K897" si="41">IF(I834&gt;=40, "Pass","Fail")</f>
        <v>Pass</v>
      </c>
    </row>
    <row r="835" spans="1:11" x14ac:dyDescent="0.25">
      <c r="A835" t="s">
        <v>13</v>
      </c>
      <c r="B835" t="s">
        <v>20</v>
      </c>
      <c r="C835" t="s">
        <v>19</v>
      </c>
      <c r="D835" t="s">
        <v>11</v>
      </c>
      <c r="E835" t="s">
        <v>17</v>
      </c>
      <c r="F835" s="1">
        <v>79</v>
      </c>
      <c r="G835" s="1">
        <v>79</v>
      </c>
      <c r="H835" s="1">
        <v>80</v>
      </c>
      <c r="I835" s="1">
        <f t="shared" si="39"/>
        <v>79.333333333333329</v>
      </c>
      <c r="J835" t="str">
        <f t="shared" si="40"/>
        <v>Good</v>
      </c>
      <c r="K835" t="str">
        <f t="shared" si="41"/>
        <v>Pass</v>
      </c>
    </row>
    <row r="836" spans="1:11" x14ac:dyDescent="0.25">
      <c r="A836" t="s">
        <v>13</v>
      </c>
      <c r="B836" t="s">
        <v>20</v>
      </c>
      <c r="C836" t="s">
        <v>15</v>
      </c>
      <c r="D836" t="s">
        <v>11</v>
      </c>
      <c r="E836" t="s">
        <v>17</v>
      </c>
      <c r="F836" s="1">
        <v>76</v>
      </c>
      <c r="G836" s="1">
        <v>81</v>
      </c>
      <c r="H836" s="1">
        <v>79</v>
      </c>
      <c r="I836" s="1">
        <f t="shared" si="39"/>
        <v>78.666666666666671</v>
      </c>
      <c r="J836" t="str">
        <f t="shared" si="40"/>
        <v>Good</v>
      </c>
      <c r="K836" t="str">
        <f t="shared" si="41"/>
        <v>Pass</v>
      </c>
    </row>
    <row r="837" spans="1:11" x14ac:dyDescent="0.25">
      <c r="A837" t="s">
        <v>13</v>
      </c>
      <c r="B837" t="s">
        <v>23</v>
      </c>
      <c r="C837" t="s">
        <v>15</v>
      </c>
      <c r="D837" t="s">
        <v>16</v>
      </c>
      <c r="E837" t="s">
        <v>12</v>
      </c>
      <c r="F837" s="1">
        <v>53</v>
      </c>
      <c r="G837" s="1">
        <v>70</v>
      </c>
      <c r="H837" s="1">
        <v>65</v>
      </c>
      <c r="I837" s="1">
        <f t="shared" si="39"/>
        <v>62.666666666666664</v>
      </c>
      <c r="J837" t="str">
        <f t="shared" si="40"/>
        <v>Good</v>
      </c>
      <c r="K837" t="str">
        <f t="shared" si="41"/>
        <v>Pass</v>
      </c>
    </row>
    <row r="838" spans="1:11" x14ac:dyDescent="0.25">
      <c r="A838" t="s">
        <v>8</v>
      </c>
      <c r="B838" t="s">
        <v>9</v>
      </c>
      <c r="C838" t="s">
        <v>10</v>
      </c>
      <c r="D838" t="s">
        <v>11</v>
      </c>
      <c r="E838" t="s">
        <v>12</v>
      </c>
      <c r="F838" s="1">
        <v>68</v>
      </c>
      <c r="G838" s="1">
        <v>70</v>
      </c>
      <c r="H838" s="1">
        <v>63</v>
      </c>
      <c r="I838" s="1">
        <f t="shared" si="39"/>
        <v>67</v>
      </c>
      <c r="J838" t="str">
        <f t="shared" si="40"/>
        <v>Good</v>
      </c>
      <c r="K838" t="str">
        <f t="shared" si="41"/>
        <v>Pass</v>
      </c>
    </row>
    <row r="839" spans="1:11" x14ac:dyDescent="0.25">
      <c r="A839" t="s">
        <v>8</v>
      </c>
      <c r="B839" t="s">
        <v>14</v>
      </c>
      <c r="C839" t="s">
        <v>21</v>
      </c>
      <c r="D839" t="s">
        <v>16</v>
      </c>
      <c r="E839" t="s">
        <v>12</v>
      </c>
      <c r="F839" s="1">
        <v>67</v>
      </c>
      <c r="G839" s="1">
        <v>70</v>
      </c>
      <c r="H839" s="1">
        <v>70</v>
      </c>
      <c r="I839" s="1">
        <f t="shared" si="39"/>
        <v>69</v>
      </c>
      <c r="J839" t="str">
        <f t="shared" si="40"/>
        <v>Good</v>
      </c>
      <c r="K839" t="str">
        <f t="shared" si="41"/>
        <v>Pass</v>
      </c>
    </row>
    <row r="840" spans="1:11" x14ac:dyDescent="0.25">
      <c r="A840" t="s">
        <v>8</v>
      </c>
      <c r="B840" t="s">
        <v>18</v>
      </c>
      <c r="C840" t="s">
        <v>19</v>
      </c>
      <c r="D840" t="s">
        <v>11</v>
      </c>
      <c r="E840" t="s">
        <v>12</v>
      </c>
      <c r="F840" s="1">
        <v>100</v>
      </c>
      <c r="G840" s="1">
        <v>84</v>
      </c>
      <c r="H840" s="1">
        <v>88</v>
      </c>
      <c r="I840" s="1">
        <f t="shared" si="39"/>
        <v>90.666666666666671</v>
      </c>
      <c r="J840" t="str">
        <f t="shared" si="40"/>
        <v>Excellent</v>
      </c>
      <c r="K840" t="str">
        <f t="shared" si="41"/>
        <v>Pass</v>
      </c>
    </row>
    <row r="841" spans="1:11" x14ac:dyDescent="0.25">
      <c r="A841" t="s">
        <v>8</v>
      </c>
      <c r="B841" t="s">
        <v>23</v>
      </c>
      <c r="C841" t="s">
        <v>21</v>
      </c>
      <c r="D841" t="s">
        <v>16</v>
      </c>
      <c r="E841" t="s">
        <v>17</v>
      </c>
      <c r="F841" s="1">
        <v>54</v>
      </c>
      <c r="G841" s="1">
        <v>48</v>
      </c>
      <c r="H841" s="1">
        <v>45</v>
      </c>
      <c r="I841" s="1">
        <f t="shared" si="39"/>
        <v>49</v>
      </c>
      <c r="J841" t="str">
        <f t="shared" si="40"/>
        <v>Average</v>
      </c>
      <c r="K841" t="str">
        <f t="shared" si="41"/>
        <v>Pass</v>
      </c>
    </row>
    <row r="842" spans="1:11" x14ac:dyDescent="0.25">
      <c r="A842" t="s">
        <v>13</v>
      </c>
      <c r="B842" t="s">
        <v>18</v>
      </c>
      <c r="C842" t="s">
        <v>21</v>
      </c>
      <c r="D842" t="s">
        <v>16</v>
      </c>
      <c r="E842" t="s">
        <v>17</v>
      </c>
      <c r="F842" s="1">
        <v>72</v>
      </c>
      <c r="G842" s="1">
        <v>73</v>
      </c>
      <c r="H842" s="1">
        <v>70</v>
      </c>
      <c r="I842" s="1">
        <f t="shared" si="39"/>
        <v>71.666666666666671</v>
      </c>
      <c r="J842" t="str">
        <f t="shared" si="40"/>
        <v>Good</v>
      </c>
      <c r="K842" t="str">
        <f t="shared" si="41"/>
        <v>Pass</v>
      </c>
    </row>
    <row r="843" spans="1:11" x14ac:dyDescent="0.25">
      <c r="A843" t="s">
        <v>8</v>
      </c>
      <c r="B843" t="s">
        <v>9</v>
      </c>
      <c r="C843" t="s">
        <v>19</v>
      </c>
      <c r="D843" t="s">
        <v>11</v>
      </c>
      <c r="E843" t="s">
        <v>12</v>
      </c>
      <c r="F843" s="1">
        <v>91</v>
      </c>
      <c r="G843" s="1">
        <v>97</v>
      </c>
      <c r="H843" s="1">
        <v>95</v>
      </c>
      <c r="I843" s="1">
        <f t="shared" si="39"/>
        <v>94.333333333333329</v>
      </c>
      <c r="J843" t="str">
        <f t="shared" si="40"/>
        <v>Excellent</v>
      </c>
      <c r="K843" t="str">
        <f t="shared" si="41"/>
        <v>Pass</v>
      </c>
    </row>
    <row r="844" spans="1:11" x14ac:dyDescent="0.25">
      <c r="A844" t="s">
        <v>8</v>
      </c>
      <c r="B844" t="s">
        <v>14</v>
      </c>
      <c r="C844" t="s">
        <v>24</v>
      </c>
      <c r="D844" t="s">
        <v>11</v>
      </c>
      <c r="E844" t="s">
        <v>12</v>
      </c>
      <c r="F844" s="1">
        <v>87</v>
      </c>
      <c r="G844" s="1">
        <v>81</v>
      </c>
      <c r="H844" s="1">
        <v>86</v>
      </c>
      <c r="I844" s="1">
        <f t="shared" si="39"/>
        <v>84.666666666666671</v>
      </c>
      <c r="J844" t="str">
        <f t="shared" si="40"/>
        <v>Excellent</v>
      </c>
      <c r="K844" t="str">
        <f t="shared" si="41"/>
        <v>Pass</v>
      </c>
    </row>
    <row r="845" spans="1:11" x14ac:dyDescent="0.25">
      <c r="A845" t="s">
        <v>13</v>
      </c>
      <c r="B845" t="s">
        <v>14</v>
      </c>
      <c r="C845" t="s">
        <v>21</v>
      </c>
      <c r="D845" t="s">
        <v>16</v>
      </c>
      <c r="E845" t="s">
        <v>17</v>
      </c>
      <c r="F845" s="1">
        <v>66</v>
      </c>
      <c r="G845" s="1">
        <v>75</v>
      </c>
      <c r="H845" s="1">
        <v>74</v>
      </c>
      <c r="I845" s="1">
        <f t="shared" si="39"/>
        <v>71.666666666666671</v>
      </c>
      <c r="J845" t="str">
        <f t="shared" si="40"/>
        <v>Good</v>
      </c>
      <c r="K845" t="str">
        <f t="shared" si="41"/>
        <v>Pass</v>
      </c>
    </row>
    <row r="846" spans="1:11" x14ac:dyDescent="0.25">
      <c r="A846" t="s">
        <v>8</v>
      </c>
      <c r="B846" t="s">
        <v>23</v>
      </c>
      <c r="C846" t="s">
        <v>15</v>
      </c>
      <c r="D846" t="s">
        <v>11</v>
      </c>
      <c r="E846" t="s">
        <v>17</v>
      </c>
      <c r="F846" s="1">
        <v>65</v>
      </c>
      <c r="G846" s="1">
        <v>66</v>
      </c>
      <c r="H846" s="1">
        <v>64</v>
      </c>
      <c r="I846" s="1">
        <f t="shared" si="39"/>
        <v>65</v>
      </c>
      <c r="J846" t="str">
        <f t="shared" si="40"/>
        <v>Good</v>
      </c>
      <c r="K846" t="str">
        <f t="shared" si="41"/>
        <v>Pass</v>
      </c>
    </row>
    <row r="847" spans="1:11" x14ac:dyDescent="0.25">
      <c r="A847" t="s">
        <v>13</v>
      </c>
      <c r="B847" t="s">
        <v>18</v>
      </c>
      <c r="C847" t="s">
        <v>21</v>
      </c>
      <c r="D847" t="s">
        <v>16</v>
      </c>
      <c r="E847" t="s">
        <v>12</v>
      </c>
      <c r="F847" s="1">
        <v>41</v>
      </c>
      <c r="G847" s="1">
        <v>56</v>
      </c>
      <c r="H847" s="1">
        <v>53</v>
      </c>
      <c r="I847" s="1">
        <f t="shared" si="39"/>
        <v>50</v>
      </c>
      <c r="J847" t="str">
        <f t="shared" si="40"/>
        <v>Average</v>
      </c>
      <c r="K847" t="str">
        <f t="shared" si="41"/>
        <v>Pass</v>
      </c>
    </row>
    <row r="848" spans="1:11" x14ac:dyDescent="0.25">
      <c r="A848" t="s">
        <v>13</v>
      </c>
      <c r="B848" t="s">
        <v>23</v>
      </c>
      <c r="C848" t="s">
        <v>21</v>
      </c>
      <c r="D848" t="s">
        <v>11</v>
      </c>
      <c r="E848" t="s">
        <v>17</v>
      </c>
      <c r="F848" s="1">
        <v>67</v>
      </c>
      <c r="G848" s="1">
        <v>69</v>
      </c>
      <c r="H848" s="1">
        <v>65</v>
      </c>
      <c r="I848" s="1">
        <f t="shared" si="39"/>
        <v>67</v>
      </c>
      <c r="J848" t="str">
        <f t="shared" si="40"/>
        <v>Good</v>
      </c>
      <c r="K848" t="str">
        <f t="shared" si="41"/>
        <v>Pass</v>
      </c>
    </row>
    <row r="849" spans="1:11" x14ac:dyDescent="0.25">
      <c r="A849" t="s">
        <v>8</v>
      </c>
      <c r="B849" t="s">
        <v>18</v>
      </c>
      <c r="C849" t="s">
        <v>10</v>
      </c>
      <c r="D849" t="s">
        <v>11</v>
      </c>
      <c r="E849" t="s">
        <v>17</v>
      </c>
      <c r="F849" s="1">
        <v>94</v>
      </c>
      <c r="G849" s="1">
        <v>89</v>
      </c>
      <c r="H849" s="1">
        <v>86</v>
      </c>
      <c r="I849" s="1">
        <f t="shared" si="39"/>
        <v>89.666666666666671</v>
      </c>
      <c r="J849" t="str">
        <f t="shared" si="40"/>
        <v>Excellent</v>
      </c>
      <c r="K849" t="str">
        <f t="shared" si="41"/>
        <v>Pass</v>
      </c>
    </row>
    <row r="850" spans="1:11" x14ac:dyDescent="0.25">
      <c r="A850" t="s">
        <v>13</v>
      </c>
      <c r="B850" t="s">
        <v>20</v>
      </c>
      <c r="C850" t="s">
        <v>22</v>
      </c>
      <c r="D850" t="s">
        <v>16</v>
      </c>
      <c r="E850" t="s">
        <v>12</v>
      </c>
      <c r="F850" s="1">
        <v>57</v>
      </c>
      <c r="G850" s="1">
        <v>70</v>
      </c>
      <c r="H850" s="1">
        <v>68</v>
      </c>
      <c r="I850" s="1">
        <f t="shared" si="39"/>
        <v>65</v>
      </c>
      <c r="J850" t="str">
        <f t="shared" si="40"/>
        <v>Good</v>
      </c>
      <c r="K850" t="str">
        <f t="shared" si="41"/>
        <v>Pass</v>
      </c>
    </row>
    <row r="851" spans="1:11" x14ac:dyDescent="0.25">
      <c r="A851" t="s">
        <v>8</v>
      </c>
      <c r="B851" t="s">
        <v>9</v>
      </c>
      <c r="C851" t="s">
        <v>10</v>
      </c>
      <c r="D851" t="s">
        <v>11</v>
      </c>
      <c r="E851" t="s">
        <v>17</v>
      </c>
      <c r="F851" s="1">
        <v>89</v>
      </c>
      <c r="G851" s="1">
        <v>83</v>
      </c>
      <c r="H851" s="1">
        <v>80</v>
      </c>
      <c r="I851" s="1">
        <f t="shared" si="39"/>
        <v>84</v>
      </c>
      <c r="J851" t="str">
        <f t="shared" si="40"/>
        <v>Excellent</v>
      </c>
      <c r="K851" t="str">
        <f t="shared" si="41"/>
        <v>Pass</v>
      </c>
    </row>
    <row r="852" spans="1:11" x14ac:dyDescent="0.25">
      <c r="A852" t="s">
        <v>8</v>
      </c>
      <c r="B852" t="s">
        <v>9</v>
      </c>
      <c r="C852" t="s">
        <v>21</v>
      </c>
      <c r="D852" t="s">
        <v>11</v>
      </c>
      <c r="E852" t="s">
        <v>12</v>
      </c>
      <c r="F852" s="1">
        <v>77</v>
      </c>
      <c r="G852" s="1">
        <v>73</v>
      </c>
      <c r="H852" s="1">
        <v>80</v>
      </c>
      <c r="I852" s="1">
        <f t="shared" si="39"/>
        <v>76.666666666666671</v>
      </c>
      <c r="J852" t="str">
        <f t="shared" si="40"/>
        <v>Good</v>
      </c>
      <c r="K852" t="str">
        <f t="shared" si="41"/>
        <v>Pass</v>
      </c>
    </row>
    <row r="853" spans="1:11" x14ac:dyDescent="0.25">
      <c r="A853" t="s">
        <v>8</v>
      </c>
      <c r="B853" t="s">
        <v>23</v>
      </c>
      <c r="C853" t="s">
        <v>15</v>
      </c>
      <c r="D853" t="s">
        <v>11</v>
      </c>
      <c r="E853" t="s">
        <v>17</v>
      </c>
      <c r="F853" s="1">
        <v>57</v>
      </c>
      <c r="G853" s="1">
        <v>60</v>
      </c>
      <c r="H853" s="1">
        <v>50</v>
      </c>
      <c r="I853" s="1">
        <f t="shared" si="39"/>
        <v>55.666666666666664</v>
      </c>
      <c r="J853" t="str">
        <f t="shared" si="40"/>
        <v>Average</v>
      </c>
      <c r="K853" t="str">
        <f t="shared" si="41"/>
        <v>Pass</v>
      </c>
    </row>
    <row r="854" spans="1:11" x14ac:dyDescent="0.25">
      <c r="A854" t="s">
        <v>8</v>
      </c>
      <c r="B854" t="s">
        <v>14</v>
      </c>
      <c r="C854" t="s">
        <v>19</v>
      </c>
      <c r="D854" t="s">
        <v>11</v>
      </c>
      <c r="E854" t="s">
        <v>12</v>
      </c>
      <c r="F854" s="1">
        <v>72</v>
      </c>
      <c r="G854" s="1">
        <v>72</v>
      </c>
      <c r="H854" s="1">
        <v>72</v>
      </c>
      <c r="I854" s="1">
        <f t="shared" si="39"/>
        <v>72</v>
      </c>
      <c r="J854" t="str">
        <f t="shared" si="40"/>
        <v>Good</v>
      </c>
      <c r="K854" t="str">
        <f t="shared" si="41"/>
        <v>Pass</v>
      </c>
    </row>
    <row r="855" spans="1:11" x14ac:dyDescent="0.25">
      <c r="A855" t="s">
        <v>8</v>
      </c>
      <c r="B855" t="s">
        <v>14</v>
      </c>
      <c r="C855" t="s">
        <v>22</v>
      </c>
      <c r="D855" t="s">
        <v>11</v>
      </c>
      <c r="E855" t="s">
        <v>12</v>
      </c>
      <c r="F855" s="1">
        <v>98</v>
      </c>
      <c r="G855" s="1">
        <v>94</v>
      </c>
      <c r="H855" s="1">
        <v>95</v>
      </c>
      <c r="I855" s="1">
        <f t="shared" si="39"/>
        <v>95.666666666666671</v>
      </c>
      <c r="J855" t="str">
        <f t="shared" si="40"/>
        <v>Excellent</v>
      </c>
      <c r="K855" t="str">
        <f t="shared" si="41"/>
        <v>Pass</v>
      </c>
    </row>
    <row r="856" spans="1:11" x14ac:dyDescent="0.25">
      <c r="A856" t="s">
        <v>13</v>
      </c>
      <c r="B856" t="s">
        <v>14</v>
      </c>
      <c r="C856" t="s">
        <v>24</v>
      </c>
      <c r="D856" t="s">
        <v>11</v>
      </c>
      <c r="E856" t="s">
        <v>17</v>
      </c>
      <c r="F856" s="1">
        <v>87</v>
      </c>
      <c r="G856" s="1">
        <v>97</v>
      </c>
      <c r="H856" s="1">
        <v>100</v>
      </c>
      <c r="I856" s="1">
        <f t="shared" si="39"/>
        <v>94.666666666666671</v>
      </c>
      <c r="J856" t="str">
        <f t="shared" si="40"/>
        <v>Excellent</v>
      </c>
      <c r="K856" t="str">
        <f t="shared" si="41"/>
        <v>Pass</v>
      </c>
    </row>
    <row r="857" spans="1:11" x14ac:dyDescent="0.25">
      <c r="A857" t="s">
        <v>8</v>
      </c>
      <c r="B857" t="s">
        <v>23</v>
      </c>
      <c r="C857" t="s">
        <v>15</v>
      </c>
      <c r="D857" t="s">
        <v>16</v>
      </c>
      <c r="E857" t="s">
        <v>17</v>
      </c>
      <c r="F857" s="1">
        <v>61</v>
      </c>
      <c r="G857" s="1">
        <v>57</v>
      </c>
      <c r="H857" s="1">
        <v>55</v>
      </c>
      <c r="I857" s="1">
        <f t="shared" si="39"/>
        <v>57.666666666666664</v>
      </c>
      <c r="J857" t="str">
        <f t="shared" si="40"/>
        <v>Average</v>
      </c>
      <c r="K857" t="str">
        <f t="shared" si="41"/>
        <v>Pass</v>
      </c>
    </row>
    <row r="858" spans="1:11" x14ac:dyDescent="0.25">
      <c r="A858" t="s">
        <v>13</v>
      </c>
      <c r="B858" t="s">
        <v>23</v>
      </c>
      <c r="C858" t="s">
        <v>24</v>
      </c>
      <c r="D858" t="s">
        <v>11</v>
      </c>
      <c r="E858" t="s">
        <v>17</v>
      </c>
      <c r="F858" s="1">
        <v>85</v>
      </c>
      <c r="G858" s="1">
        <v>100</v>
      </c>
      <c r="H858" s="1">
        <v>97</v>
      </c>
      <c r="I858" s="1">
        <f t="shared" si="39"/>
        <v>94</v>
      </c>
      <c r="J858" t="str">
        <f t="shared" si="40"/>
        <v>Excellent</v>
      </c>
      <c r="K858" t="str">
        <f t="shared" si="41"/>
        <v>Pass</v>
      </c>
    </row>
    <row r="859" spans="1:11" x14ac:dyDescent="0.25">
      <c r="A859" t="s">
        <v>13</v>
      </c>
      <c r="B859" t="s">
        <v>14</v>
      </c>
      <c r="C859" t="s">
        <v>15</v>
      </c>
      <c r="D859" t="s">
        <v>11</v>
      </c>
      <c r="E859" t="s">
        <v>17</v>
      </c>
      <c r="F859" s="1">
        <v>81</v>
      </c>
      <c r="G859" s="1">
        <v>85</v>
      </c>
      <c r="H859" s="1">
        <v>91</v>
      </c>
      <c r="I859" s="1">
        <f t="shared" si="39"/>
        <v>85.666666666666671</v>
      </c>
      <c r="J859" t="str">
        <f t="shared" si="40"/>
        <v>Excellent</v>
      </c>
      <c r="K859" t="str">
        <f t="shared" si="41"/>
        <v>Pass</v>
      </c>
    </row>
    <row r="860" spans="1:11" x14ac:dyDescent="0.25">
      <c r="A860" t="s">
        <v>13</v>
      </c>
      <c r="B860" t="s">
        <v>14</v>
      </c>
      <c r="C860" t="s">
        <v>10</v>
      </c>
      <c r="D860" t="s">
        <v>11</v>
      </c>
      <c r="E860" t="s">
        <v>12</v>
      </c>
      <c r="F860" s="1">
        <v>74</v>
      </c>
      <c r="G860" s="1">
        <v>84</v>
      </c>
      <c r="H860" s="1">
        <v>79</v>
      </c>
      <c r="I860" s="1">
        <f t="shared" si="39"/>
        <v>79</v>
      </c>
      <c r="J860" t="str">
        <f t="shared" si="40"/>
        <v>Good</v>
      </c>
      <c r="K860" t="str">
        <f t="shared" si="41"/>
        <v>Pass</v>
      </c>
    </row>
    <row r="861" spans="1:11" x14ac:dyDescent="0.25">
      <c r="A861" t="s">
        <v>8</v>
      </c>
      <c r="B861" t="s">
        <v>23</v>
      </c>
      <c r="C861" t="s">
        <v>22</v>
      </c>
      <c r="D861" t="s">
        <v>11</v>
      </c>
      <c r="E861" t="s">
        <v>17</v>
      </c>
      <c r="F861" s="1">
        <v>98</v>
      </c>
      <c r="G861" s="1">
        <v>92</v>
      </c>
      <c r="H861" s="1">
        <v>90</v>
      </c>
      <c r="I861" s="1">
        <f t="shared" si="39"/>
        <v>93.333333333333329</v>
      </c>
      <c r="J861" t="str">
        <f t="shared" si="40"/>
        <v>Excellent</v>
      </c>
      <c r="K861" t="str">
        <f t="shared" si="41"/>
        <v>Pass</v>
      </c>
    </row>
    <row r="862" spans="1:11" x14ac:dyDescent="0.25">
      <c r="A862" t="s">
        <v>13</v>
      </c>
      <c r="B862" t="s">
        <v>14</v>
      </c>
      <c r="C862" t="s">
        <v>19</v>
      </c>
      <c r="D862" t="s">
        <v>11</v>
      </c>
      <c r="E862" t="s">
        <v>17</v>
      </c>
      <c r="F862" s="1">
        <v>86</v>
      </c>
      <c r="G862" s="1">
        <v>84</v>
      </c>
      <c r="H862" s="1">
        <v>89</v>
      </c>
      <c r="I862" s="1">
        <f t="shared" si="39"/>
        <v>86.333333333333329</v>
      </c>
      <c r="J862" t="str">
        <f t="shared" si="40"/>
        <v>Excellent</v>
      </c>
      <c r="K862" t="str">
        <f t="shared" si="41"/>
        <v>Pass</v>
      </c>
    </row>
    <row r="863" spans="1:11" x14ac:dyDescent="0.25">
      <c r="A863" t="s">
        <v>8</v>
      </c>
      <c r="B863" t="s">
        <v>23</v>
      </c>
      <c r="C863" t="s">
        <v>22</v>
      </c>
      <c r="D863" t="s">
        <v>11</v>
      </c>
      <c r="E863" t="s">
        <v>12</v>
      </c>
      <c r="F863" s="1">
        <v>85</v>
      </c>
      <c r="G863" s="1">
        <v>81</v>
      </c>
      <c r="H863" s="1">
        <v>82</v>
      </c>
      <c r="I863" s="1">
        <f t="shared" si="39"/>
        <v>82.666666666666671</v>
      </c>
      <c r="J863" t="str">
        <f t="shared" si="40"/>
        <v>Excellent</v>
      </c>
      <c r="K863" t="str">
        <f t="shared" si="41"/>
        <v>Pass</v>
      </c>
    </row>
    <row r="864" spans="1:11" x14ac:dyDescent="0.25">
      <c r="A864" t="s">
        <v>8</v>
      </c>
      <c r="B864" t="s">
        <v>23</v>
      </c>
      <c r="C864" t="s">
        <v>19</v>
      </c>
      <c r="D864" t="s">
        <v>11</v>
      </c>
      <c r="E864" t="s">
        <v>17</v>
      </c>
      <c r="F864" s="1">
        <v>68</v>
      </c>
      <c r="G864" s="1">
        <v>71</v>
      </c>
      <c r="H864" s="1">
        <v>63</v>
      </c>
      <c r="I864" s="1">
        <f t="shared" si="39"/>
        <v>67.333333333333329</v>
      </c>
      <c r="J864" t="str">
        <f t="shared" si="40"/>
        <v>Good</v>
      </c>
      <c r="K864" t="str">
        <f t="shared" si="41"/>
        <v>Pass</v>
      </c>
    </row>
    <row r="865" spans="1:11" x14ac:dyDescent="0.25">
      <c r="A865" t="s">
        <v>13</v>
      </c>
      <c r="B865" t="s">
        <v>18</v>
      </c>
      <c r="C865" t="s">
        <v>10</v>
      </c>
      <c r="D865" t="s">
        <v>16</v>
      </c>
      <c r="E865" t="s">
        <v>12</v>
      </c>
      <c r="F865" s="1">
        <v>66</v>
      </c>
      <c r="G865" s="1">
        <v>78</v>
      </c>
      <c r="H865" s="1">
        <v>77</v>
      </c>
      <c r="I865" s="1">
        <f t="shared" si="39"/>
        <v>73.666666666666671</v>
      </c>
      <c r="J865" t="str">
        <f t="shared" si="40"/>
        <v>Good</v>
      </c>
      <c r="K865" t="str">
        <f t="shared" si="41"/>
        <v>Pass</v>
      </c>
    </row>
    <row r="866" spans="1:11" x14ac:dyDescent="0.25">
      <c r="A866" t="s">
        <v>8</v>
      </c>
      <c r="B866" t="s">
        <v>20</v>
      </c>
      <c r="C866" t="s">
        <v>15</v>
      </c>
      <c r="D866" t="s">
        <v>16</v>
      </c>
      <c r="E866" t="s">
        <v>12</v>
      </c>
      <c r="F866" s="1">
        <v>75</v>
      </c>
      <c r="G866" s="1">
        <v>74</v>
      </c>
      <c r="H866" s="1">
        <v>71</v>
      </c>
      <c r="I866" s="1">
        <f t="shared" si="39"/>
        <v>73.333333333333329</v>
      </c>
      <c r="J866" t="str">
        <f t="shared" si="40"/>
        <v>Good</v>
      </c>
      <c r="K866" t="str">
        <f t="shared" si="41"/>
        <v>Pass</v>
      </c>
    </row>
    <row r="867" spans="1:11" x14ac:dyDescent="0.25">
      <c r="A867" t="s">
        <v>8</v>
      </c>
      <c r="B867" t="s">
        <v>23</v>
      </c>
      <c r="C867" t="s">
        <v>22</v>
      </c>
      <c r="D867" t="s">
        <v>11</v>
      </c>
      <c r="E867" t="s">
        <v>17</v>
      </c>
      <c r="F867" s="1">
        <v>79</v>
      </c>
      <c r="G867" s="1">
        <v>57</v>
      </c>
      <c r="H867" s="1">
        <v>58</v>
      </c>
      <c r="I867" s="1">
        <f t="shared" si="39"/>
        <v>64.666666666666671</v>
      </c>
      <c r="J867" t="str">
        <f t="shared" si="40"/>
        <v>Good</v>
      </c>
      <c r="K867" t="str">
        <f t="shared" si="41"/>
        <v>Pass</v>
      </c>
    </row>
    <row r="868" spans="1:11" x14ac:dyDescent="0.25">
      <c r="A868" t="s">
        <v>13</v>
      </c>
      <c r="B868" t="s">
        <v>20</v>
      </c>
      <c r="C868" t="s">
        <v>22</v>
      </c>
      <c r="D868" t="s">
        <v>16</v>
      </c>
      <c r="E868" t="s">
        <v>17</v>
      </c>
      <c r="F868" s="1">
        <v>59</v>
      </c>
      <c r="G868" s="1">
        <v>85</v>
      </c>
      <c r="H868" s="1">
        <v>82</v>
      </c>
      <c r="I868" s="1">
        <f t="shared" si="39"/>
        <v>75.333333333333329</v>
      </c>
      <c r="J868" t="str">
        <f t="shared" si="40"/>
        <v>Good</v>
      </c>
      <c r="K868" t="str">
        <f t="shared" si="41"/>
        <v>Pass</v>
      </c>
    </row>
    <row r="869" spans="1:11" x14ac:dyDescent="0.25">
      <c r="A869" t="s">
        <v>8</v>
      </c>
      <c r="B869" t="s">
        <v>20</v>
      </c>
      <c r="C869" t="s">
        <v>24</v>
      </c>
      <c r="D869" t="s">
        <v>16</v>
      </c>
      <c r="E869" t="s">
        <v>17</v>
      </c>
      <c r="F869" s="1">
        <v>60</v>
      </c>
      <c r="G869" s="1">
        <v>62</v>
      </c>
      <c r="H869" s="1">
        <v>58</v>
      </c>
      <c r="I869" s="1">
        <f t="shared" si="39"/>
        <v>60</v>
      </c>
      <c r="J869" t="str">
        <f t="shared" si="40"/>
        <v>Good</v>
      </c>
      <c r="K869" t="str">
        <f t="shared" si="41"/>
        <v>Pass</v>
      </c>
    </row>
    <row r="870" spans="1:11" x14ac:dyDescent="0.25">
      <c r="A870" t="s">
        <v>8</v>
      </c>
      <c r="B870" t="s">
        <v>14</v>
      </c>
      <c r="C870" t="s">
        <v>10</v>
      </c>
      <c r="D870" t="s">
        <v>11</v>
      </c>
      <c r="E870" t="s">
        <v>17</v>
      </c>
      <c r="F870" s="1">
        <v>69</v>
      </c>
      <c r="G870" s="1">
        <v>60</v>
      </c>
      <c r="H870" s="1">
        <v>54</v>
      </c>
      <c r="I870" s="1">
        <f t="shared" si="39"/>
        <v>61</v>
      </c>
      <c r="J870" t="str">
        <f t="shared" si="40"/>
        <v>Good</v>
      </c>
      <c r="K870" t="str">
        <f t="shared" si="41"/>
        <v>Pass</v>
      </c>
    </row>
    <row r="871" spans="1:11" x14ac:dyDescent="0.25">
      <c r="A871" t="s">
        <v>13</v>
      </c>
      <c r="B871" t="s">
        <v>20</v>
      </c>
      <c r="C871" t="s">
        <v>10</v>
      </c>
      <c r="D871" t="s">
        <v>16</v>
      </c>
      <c r="E871" t="s">
        <v>17</v>
      </c>
      <c r="F871" s="1">
        <v>49</v>
      </c>
      <c r="G871" s="1">
        <v>54</v>
      </c>
      <c r="H871" s="1">
        <v>58</v>
      </c>
      <c r="I871" s="1">
        <f t="shared" si="39"/>
        <v>53.666666666666664</v>
      </c>
      <c r="J871" t="str">
        <f t="shared" si="40"/>
        <v>Average</v>
      </c>
      <c r="K871" t="str">
        <f t="shared" si="41"/>
        <v>Pass</v>
      </c>
    </row>
    <row r="872" spans="1:11" x14ac:dyDescent="0.25">
      <c r="A872" t="s">
        <v>8</v>
      </c>
      <c r="B872" t="s">
        <v>14</v>
      </c>
      <c r="C872" t="s">
        <v>19</v>
      </c>
      <c r="D872" t="s">
        <v>11</v>
      </c>
      <c r="E872" t="s">
        <v>17</v>
      </c>
      <c r="F872" s="1">
        <v>62</v>
      </c>
      <c r="G872" s="1">
        <v>44</v>
      </c>
      <c r="H872" s="1">
        <v>52</v>
      </c>
      <c r="I872" s="1">
        <f t="shared" si="39"/>
        <v>52.666666666666664</v>
      </c>
      <c r="J872" t="str">
        <f t="shared" si="40"/>
        <v>Average</v>
      </c>
      <c r="K872" t="str">
        <f t="shared" si="41"/>
        <v>Pass</v>
      </c>
    </row>
    <row r="873" spans="1:11" x14ac:dyDescent="0.25">
      <c r="A873" t="s">
        <v>13</v>
      </c>
      <c r="B873" t="s">
        <v>18</v>
      </c>
      <c r="C873" t="s">
        <v>10</v>
      </c>
      <c r="D873" t="s">
        <v>16</v>
      </c>
      <c r="E873" t="s">
        <v>12</v>
      </c>
      <c r="F873" s="1">
        <v>70</v>
      </c>
      <c r="G873" s="1">
        <v>84</v>
      </c>
      <c r="H873" s="1">
        <v>83</v>
      </c>
      <c r="I873" s="1">
        <f t="shared" si="39"/>
        <v>79</v>
      </c>
      <c r="J873" t="str">
        <f t="shared" si="40"/>
        <v>Good</v>
      </c>
      <c r="K873" t="str">
        <f t="shared" si="41"/>
        <v>Pass</v>
      </c>
    </row>
    <row r="874" spans="1:11" x14ac:dyDescent="0.25">
      <c r="A874" t="s">
        <v>8</v>
      </c>
      <c r="B874" t="s">
        <v>14</v>
      </c>
      <c r="C874" t="s">
        <v>22</v>
      </c>
      <c r="D874" t="s">
        <v>11</v>
      </c>
      <c r="E874" t="s">
        <v>17</v>
      </c>
      <c r="F874" s="1">
        <v>71</v>
      </c>
      <c r="G874" s="1">
        <v>57</v>
      </c>
      <c r="H874" s="1">
        <v>60</v>
      </c>
      <c r="I874" s="1">
        <f t="shared" si="39"/>
        <v>62.666666666666664</v>
      </c>
      <c r="J874" t="str">
        <f t="shared" si="40"/>
        <v>Good</v>
      </c>
      <c r="K874" t="str">
        <f t="shared" si="41"/>
        <v>Pass</v>
      </c>
    </row>
    <row r="875" spans="1:11" x14ac:dyDescent="0.25">
      <c r="A875" t="s">
        <v>8</v>
      </c>
      <c r="B875" t="s">
        <v>23</v>
      </c>
      <c r="C875" t="s">
        <v>22</v>
      </c>
      <c r="D875" t="s">
        <v>11</v>
      </c>
      <c r="E875" t="s">
        <v>17</v>
      </c>
      <c r="F875" s="1">
        <v>71</v>
      </c>
      <c r="G875" s="1">
        <v>69</v>
      </c>
      <c r="H875" s="1">
        <v>65</v>
      </c>
      <c r="I875" s="1">
        <f t="shared" si="39"/>
        <v>68.333333333333329</v>
      </c>
      <c r="J875" t="str">
        <f t="shared" si="40"/>
        <v>Good</v>
      </c>
      <c r="K875" t="str">
        <f t="shared" si="41"/>
        <v>Pass</v>
      </c>
    </row>
    <row r="876" spans="1:11" x14ac:dyDescent="0.25">
      <c r="A876" t="s">
        <v>13</v>
      </c>
      <c r="B876" t="s">
        <v>23</v>
      </c>
      <c r="C876" t="s">
        <v>15</v>
      </c>
      <c r="D876" t="s">
        <v>16</v>
      </c>
      <c r="E876" t="s">
        <v>17</v>
      </c>
      <c r="F876" s="1">
        <v>50</v>
      </c>
      <c r="G876" s="1">
        <v>59</v>
      </c>
      <c r="H876" s="1">
        <v>54</v>
      </c>
      <c r="I876" s="1">
        <f t="shared" si="39"/>
        <v>54.333333333333336</v>
      </c>
      <c r="J876" t="str">
        <f t="shared" si="40"/>
        <v>Average</v>
      </c>
      <c r="K876" t="str">
        <f t="shared" si="41"/>
        <v>Pass</v>
      </c>
    </row>
    <row r="877" spans="1:11" x14ac:dyDescent="0.25">
      <c r="A877" t="s">
        <v>13</v>
      </c>
      <c r="B877" t="s">
        <v>20</v>
      </c>
      <c r="C877" t="s">
        <v>10</v>
      </c>
      <c r="D877" t="s">
        <v>11</v>
      </c>
      <c r="E877" t="s">
        <v>17</v>
      </c>
      <c r="F877" s="1">
        <v>52</v>
      </c>
      <c r="G877" s="1">
        <v>55</v>
      </c>
      <c r="H877" s="1">
        <v>57</v>
      </c>
      <c r="I877" s="1">
        <f t="shared" si="39"/>
        <v>54.666666666666664</v>
      </c>
      <c r="J877" t="str">
        <f t="shared" si="40"/>
        <v>Average</v>
      </c>
      <c r="K877" t="str">
        <f t="shared" si="41"/>
        <v>Pass</v>
      </c>
    </row>
    <row r="878" spans="1:11" x14ac:dyDescent="0.25">
      <c r="A878" t="s">
        <v>8</v>
      </c>
      <c r="B878" t="s">
        <v>18</v>
      </c>
      <c r="C878" t="s">
        <v>19</v>
      </c>
      <c r="D878" t="s">
        <v>16</v>
      </c>
      <c r="E878" t="s">
        <v>12</v>
      </c>
      <c r="F878" s="1">
        <v>75</v>
      </c>
      <c r="G878" s="1">
        <v>65</v>
      </c>
      <c r="H878" s="1">
        <v>66</v>
      </c>
      <c r="I878" s="1">
        <f t="shared" si="39"/>
        <v>68.666666666666671</v>
      </c>
      <c r="J878" t="str">
        <f t="shared" si="40"/>
        <v>Good</v>
      </c>
      <c r="K878" t="str">
        <f t="shared" si="41"/>
        <v>Pass</v>
      </c>
    </row>
    <row r="879" spans="1:11" x14ac:dyDescent="0.25">
      <c r="A879" t="s">
        <v>13</v>
      </c>
      <c r="B879" t="s">
        <v>23</v>
      </c>
      <c r="C879" t="s">
        <v>22</v>
      </c>
      <c r="D879" t="s">
        <v>11</v>
      </c>
      <c r="E879" t="s">
        <v>17</v>
      </c>
      <c r="F879" s="1">
        <v>51</v>
      </c>
      <c r="G879" s="1">
        <v>64</v>
      </c>
      <c r="H879" s="1">
        <v>63</v>
      </c>
      <c r="I879" s="1">
        <f t="shared" si="39"/>
        <v>59.333333333333336</v>
      </c>
      <c r="J879" t="str">
        <f t="shared" si="40"/>
        <v>Average</v>
      </c>
      <c r="K879" t="str">
        <f t="shared" si="41"/>
        <v>Pass</v>
      </c>
    </row>
    <row r="880" spans="1:11" x14ac:dyDescent="0.25">
      <c r="A880" t="s">
        <v>8</v>
      </c>
      <c r="B880" t="s">
        <v>23</v>
      </c>
      <c r="C880" t="s">
        <v>15</v>
      </c>
      <c r="D880" t="s">
        <v>11</v>
      </c>
      <c r="E880" t="s">
        <v>17</v>
      </c>
      <c r="F880" s="1">
        <v>64</v>
      </c>
      <c r="G880" s="1">
        <v>48</v>
      </c>
      <c r="H880" s="1">
        <v>50</v>
      </c>
      <c r="I880" s="1">
        <f t="shared" si="39"/>
        <v>54</v>
      </c>
      <c r="J880" t="str">
        <f t="shared" si="40"/>
        <v>Average</v>
      </c>
      <c r="K880" t="str">
        <f t="shared" si="41"/>
        <v>Pass</v>
      </c>
    </row>
    <row r="881" spans="1:11" x14ac:dyDescent="0.25">
      <c r="A881" t="s">
        <v>13</v>
      </c>
      <c r="B881" t="s">
        <v>9</v>
      </c>
      <c r="C881" t="s">
        <v>19</v>
      </c>
      <c r="D881" t="s">
        <v>16</v>
      </c>
      <c r="E881" t="s">
        <v>12</v>
      </c>
      <c r="F881" s="1">
        <v>65</v>
      </c>
      <c r="G881" s="1">
        <v>76</v>
      </c>
      <c r="H881" s="1">
        <v>72</v>
      </c>
      <c r="I881" s="1">
        <f t="shared" si="39"/>
        <v>71</v>
      </c>
      <c r="J881" t="str">
        <f t="shared" si="40"/>
        <v>Good</v>
      </c>
      <c r="K881" t="str">
        <f t="shared" si="41"/>
        <v>Pass</v>
      </c>
    </row>
    <row r="882" spans="1:11" x14ac:dyDescent="0.25">
      <c r="A882" t="s">
        <v>8</v>
      </c>
      <c r="B882" t="s">
        <v>20</v>
      </c>
      <c r="C882" t="s">
        <v>24</v>
      </c>
      <c r="D882" t="s">
        <v>11</v>
      </c>
      <c r="E882" t="s">
        <v>17</v>
      </c>
      <c r="F882" s="1">
        <v>99</v>
      </c>
      <c r="G882" s="1">
        <v>81</v>
      </c>
      <c r="H882" s="1">
        <v>87</v>
      </c>
      <c r="I882" s="1">
        <f t="shared" si="39"/>
        <v>89</v>
      </c>
      <c r="J882" t="str">
        <f t="shared" si="40"/>
        <v>Excellent</v>
      </c>
      <c r="K882" t="str">
        <f t="shared" si="41"/>
        <v>Pass</v>
      </c>
    </row>
    <row r="883" spans="1:11" x14ac:dyDescent="0.25">
      <c r="A883" t="s">
        <v>13</v>
      </c>
      <c r="B883" t="s">
        <v>20</v>
      </c>
      <c r="C883" t="s">
        <v>21</v>
      </c>
      <c r="D883" t="s">
        <v>11</v>
      </c>
      <c r="E883" t="s">
        <v>17</v>
      </c>
      <c r="F883" s="1">
        <v>60</v>
      </c>
      <c r="G883" s="1">
        <v>62</v>
      </c>
      <c r="H883" s="1">
        <v>58</v>
      </c>
      <c r="I883" s="1">
        <f t="shared" si="39"/>
        <v>60</v>
      </c>
      <c r="J883" t="str">
        <f t="shared" si="40"/>
        <v>Good</v>
      </c>
      <c r="K883" t="str">
        <f t="shared" si="41"/>
        <v>Pass</v>
      </c>
    </row>
    <row r="884" spans="1:11" x14ac:dyDescent="0.25">
      <c r="A884" t="s">
        <v>13</v>
      </c>
      <c r="B884" t="s">
        <v>20</v>
      </c>
      <c r="C884" t="s">
        <v>19</v>
      </c>
      <c r="D884" t="s">
        <v>11</v>
      </c>
      <c r="E884" t="s">
        <v>17</v>
      </c>
      <c r="F884" s="1">
        <v>70</v>
      </c>
      <c r="G884" s="1">
        <v>78</v>
      </c>
      <c r="H884" s="1">
        <v>80</v>
      </c>
      <c r="I884" s="1">
        <f t="shared" si="39"/>
        <v>76</v>
      </c>
      <c r="J884" t="str">
        <f t="shared" si="40"/>
        <v>Good</v>
      </c>
      <c r="K884" t="str">
        <f t="shared" si="41"/>
        <v>Pass</v>
      </c>
    </row>
    <row r="885" spans="1:11" x14ac:dyDescent="0.25">
      <c r="A885" t="s">
        <v>8</v>
      </c>
      <c r="B885" t="s">
        <v>9</v>
      </c>
      <c r="C885" t="s">
        <v>19</v>
      </c>
      <c r="D885" t="s">
        <v>11</v>
      </c>
      <c r="E885" t="s">
        <v>12</v>
      </c>
      <c r="F885" s="1">
        <v>77</v>
      </c>
      <c r="G885" s="1">
        <v>76</v>
      </c>
      <c r="H885" s="1">
        <v>77</v>
      </c>
      <c r="I885" s="1">
        <f t="shared" si="39"/>
        <v>76.666666666666671</v>
      </c>
      <c r="J885" t="str">
        <f t="shared" si="40"/>
        <v>Good</v>
      </c>
      <c r="K885" t="str">
        <f t="shared" si="41"/>
        <v>Pass</v>
      </c>
    </row>
    <row r="886" spans="1:11" x14ac:dyDescent="0.25">
      <c r="A886" t="s">
        <v>8</v>
      </c>
      <c r="B886" t="s">
        <v>20</v>
      </c>
      <c r="C886" t="s">
        <v>10</v>
      </c>
      <c r="D886" t="s">
        <v>16</v>
      </c>
      <c r="E886" t="s">
        <v>17</v>
      </c>
      <c r="F886" s="1">
        <v>37</v>
      </c>
      <c r="G886" s="1">
        <v>28</v>
      </c>
      <c r="H886" s="1">
        <v>23</v>
      </c>
      <c r="I886" s="1">
        <f t="shared" si="39"/>
        <v>29.333333333333332</v>
      </c>
      <c r="J886" t="str">
        <f t="shared" si="40"/>
        <v>Poor</v>
      </c>
      <c r="K886" t="str">
        <f t="shared" si="41"/>
        <v>Fail</v>
      </c>
    </row>
    <row r="887" spans="1:11" x14ac:dyDescent="0.25">
      <c r="A887" t="s">
        <v>8</v>
      </c>
      <c r="B887" t="s">
        <v>18</v>
      </c>
      <c r="C887" t="s">
        <v>21</v>
      </c>
      <c r="D887" t="s">
        <v>16</v>
      </c>
      <c r="E887" t="s">
        <v>17</v>
      </c>
      <c r="F887" s="1">
        <v>73</v>
      </c>
      <c r="G887" s="1">
        <v>73</v>
      </c>
      <c r="H887" s="1">
        <v>61</v>
      </c>
      <c r="I887" s="1">
        <f t="shared" si="39"/>
        <v>69</v>
      </c>
      <c r="J887" t="str">
        <f t="shared" si="40"/>
        <v>Good</v>
      </c>
      <c r="K887" t="str">
        <f t="shared" si="41"/>
        <v>Pass</v>
      </c>
    </row>
    <row r="888" spans="1:11" x14ac:dyDescent="0.25">
      <c r="A888" t="s">
        <v>13</v>
      </c>
      <c r="B888" t="s">
        <v>20</v>
      </c>
      <c r="C888" t="s">
        <v>21</v>
      </c>
      <c r="D888" t="s">
        <v>16</v>
      </c>
      <c r="E888" t="s">
        <v>12</v>
      </c>
      <c r="F888" s="1">
        <v>53</v>
      </c>
      <c r="G888" s="1">
        <v>74</v>
      </c>
      <c r="H888" s="1">
        <v>75</v>
      </c>
      <c r="I888" s="1">
        <f t="shared" si="39"/>
        <v>67.333333333333329</v>
      </c>
      <c r="J888" t="str">
        <f t="shared" si="40"/>
        <v>Good</v>
      </c>
      <c r="K888" t="str">
        <f t="shared" si="41"/>
        <v>Pass</v>
      </c>
    </row>
    <row r="889" spans="1:11" x14ac:dyDescent="0.25">
      <c r="A889" t="s">
        <v>13</v>
      </c>
      <c r="B889" t="s">
        <v>20</v>
      </c>
      <c r="C889" t="s">
        <v>21</v>
      </c>
      <c r="D889" t="s">
        <v>11</v>
      </c>
      <c r="E889" t="s">
        <v>17</v>
      </c>
      <c r="F889" s="1">
        <v>67</v>
      </c>
      <c r="G889" s="1">
        <v>58</v>
      </c>
      <c r="H889" s="1">
        <v>62</v>
      </c>
      <c r="I889" s="1">
        <f t="shared" si="39"/>
        <v>62.333333333333336</v>
      </c>
      <c r="J889" t="str">
        <f t="shared" si="40"/>
        <v>Good</v>
      </c>
      <c r="K889" t="str">
        <f t="shared" si="41"/>
        <v>Pass</v>
      </c>
    </row>
    <row r="890" spans="1:11" x14ac:dyDescent="0.25">
      <c r="A890" t="s">
        <v>13</v>
      </c>
      <c r="B890" t="s">
        <v>20</v>
      </c>
      <c r="C890" t="s">
        <v>19</v>
      </c>
      <c r="D890" t="s">
        <v>16</v>
      </c>
      <c r="E890" t="s">
        <v>17</v>
      </c>
      <c r="F890" s="1">
        <v>67</v>
      </c>
      <c r="G890" s="1">
        <v>79</v>
      </c>
      <c r="H890" s="1">
        <v>80</v>
      </c>
      <c r="I890" s="1">
        <f t="shared" si="39"/>
        <v>75.333333333333329</v>
      </c>
      <c r="J890" t="str">
        <f t="shared" si="40"/>
        <v>Good</v>
      </c>
      <c r="K890" t="str">
        <f t="shared" si="41"/>
        <v>Pass</v>
      </c>
    </row>
    <row r="891" spans="1:11" x14ac:dyDescent="0.25">
      <c r="A891" t="s">
        <v>8</v>
      </c>
      <c r="B891" t="s">
        <v>20</v>
      </c>
      <c r="C891" t="s">
        <v>10</v>
      </c>
      <c r="D891" t="s">
        <v>16</v>
      </c>
      <c r="E891" t="s">
        <v>17</v>
      </c>
      <c r="F891" s="1">
        <v>51</v>
      </c>
      <c r="G891" s="1">
        <v>57</v>
      </c>
      <c r="H891" s="1">
        <v>50</v>
      </c>
      <c r="I891" s="1">
        <f t="shared" si="39"/>
        <v>52.666666666666664</v>
      </c>
      <c r="J891" t="str">
        <f t="shared" si="40"/>
        <v>Average</v>
      </c>
      <c r="K891" t="str">
        <f t="shared" si="41"/>
        <v>Pass</v>
      </c>
    </row>
    <row r="892" spans="1:11" x14ac:dyDescent="0.25">
      <c r="A892" t="s">
        <v>8</v>
      </c>
      <c r="B892" t="s">
        <v>14</v>
      </c>
      <c r="C892" t="s">
        <v>10</v>
      </c>
      <c r="D892" t="s">
        <v>11</v>
      </c>
      <c r="E892" t="s">
        <v>12</v>
      </c>
      <c r="F892" s="1">
        <v>64</v>
      </c>
      <c r="G892" s="1">
        <v>71</v>
      </c>
      <c r="H892" s="1">
        <v>70</v>
      </c>
      <c r="I892" s="1">
        <f t="shared" si="39"/>
        <v>68.333333333333329</v>
      </c>
      <c r="J892" t="str">
        <f t="shared" si="40"/>
        <v>Good</v>
      </c>
      <c r="K892" t="str">
        <f t="shared" si="41"/>
        <v>Pass</v>
      </c>
    </row>
    <row r="893" spans="1:11" x14ac:dyDescent="0.25">
      <c r="A893" t="s">
        <v>8</v>
      </c>
      <c r="B893" t="s">
        <v>18</v>
      </c>
      <c r="C893" t="s">
        <v>19</v>
      </c>
      <c r="D893" t="s">
        <v>16</v>
      </c>
      <c r="E893" t="s">
        <v>17</v>
      </c>
      <c r="F893" s="1">
        <v>55</v>
      </c>
      <c r="G893" s="1">
        <v>42</v>
      </c>
      <c r="H893" s="1">
        <v>43</v>
      </c>
      <c r="I893" s="1">
        <f t="shared" si="39"/>
        <v>46.666666666666664</v>
      </c>
      <c r="J893" t="str">
        <f t="shared" si="40"/>
        <v>Average</v>
      </c>
      <c r="K893" t="str">
        <f t="shared" si="41"/>
        <v>Pass</v>
      </c>
    </row>
    <row r="894" spans="1:11" x14ac:dyDescent="0.25">
      <c r="A894" t="s">
        <v>8</v>
      </c>
      <c r="B894" t="s">
        <v>14</v>
      </c>
      <c r="C894" t="s">
        <v>21</v>
      </c>
      <c r="D894" t="s">
        <v>16</v>
      </c>
      <c r="E894" t="s">
        <v>12</v>
      </c>
      <c r="F894" s="1">
        <v>55</v>
      </c>
      <c r="G894" s="1">
        <v>39</v>
      </c>
      <c r="H894" s="1">
        <v>51</v>
      </c>
      <c r="I894" s="1">
        <f t="shared" si="39"/>
        <v>48.333333333333336</v>
      </c>
      <c r="J894" t="str">
        <f t="shared" si="40"/>
        <v>Average</v>
      </c>
      <c r="K894" t="str">
        <f t="shared" si="41"/>
        <v>Pass</v>
      </c>
    </row>
    <row r="895" spans="1:11" x14ac:dyDescent="0.25">
      <c r="A895" t="s">
        <v>8</v>
      </c>
      <c r="B895" t="s">
        <v>18</v>
      </c>
      <c r="C895" t="s">
        <v>21</v>
      </c>
      <c r="D895" t="s">
        <v>11</v>
      </c>
      <c r="E895" t="s">
        <v>17</v>
      </c>
      <c r="F895" s="1">
        <v>86</v>
      </c>
      <c r="G895" s="1">
        <v>77</v>
      </c>
      <c r="H895" s="1">
        <v>78</v>
      </c>
      <c r="I895" s="1">
        <f t="shared" si="39"/>
        <v>80.333333333333329</v>
      </c>
      <c r="J895" t="str">
        <f t="shared" si="40"/>
        <v>Excellent</v>
      </c>
      <c r="K895" t="str">
        <f t="shared" si="41"/>
        <v>Pass</v>
      </c>
    </row>
    <row r="896" spans="1:11" x14ac:dyDescent="0.25">
      <c r="A896" t="s">
        <v>13</v>
      </c>
      <c r="B896" t="s">
        <v>20</v>
      </c>
      <c r="C896" t="s">
        <v>24</v>
      </c>
      <c r="D896" t="s">
        <v>11</v>
      </c>
      <c r="E896" t="s">
        <v>17</v>
      </c>
      <c r="F896" s="1">
        <v>71</v>
      </c>
      <c r="G896" s="1">
        <v>88</v>
      </c>
      <c r="H896" s="1">
        <v>85</v>
      </c>
      <c r="I896" s="1">
        <f t="shared" si="39"/>
        <v>81.333333333333329</v>
      </c>
      <c r="J896" t="str">
        <f t="shared" si="40"/>
        <v>Excellent</v>
      </c>
      <c r="K896" t="str">
        <f t="shared" si="41"/>
        <v>Pass</v>
      </c>
    </row>
    <row r="897" spans="1:11" x14ac:dyDescent="0.25">
      <c r="A897" t="s">
        <v>8</v>
      </c>
      <c r="B897" t="s">
        <v>23</v>
      </c>
      <c r="C897" t="s">
        <v>10</v>
      </c>
      <c r="D897" t="s">
        <v>16</v>
      </c>
      <c r="E897" t="s">
        <v>17</v>
      </c>
      <c r="F897" s="1">
        <v>71</v>
      </c>
      <c r="G897" s="1">
        <v>63</v>
      </c>
      <c r="H897" s="1">
        <v>64</v>
      </c>
      <c r="I897" s="1">
        <f t="shared" si="39"/>
        <v>66</v>
      </c>
      <c r="J897" t="str">
        <f t="shared" si="40"/>
        <v>Good</v>
      </c>
      <c r="K897" t="str">
        <f t="shared" si="41"/>
        <v>Pass</v>
      </c>
    </row>
    <row r="898" spans="1:11" x14ac:dyDescent="0.25">
      <c r="A898" t="s">
        <v>13</v>
      </c>
      <c r="B898" t="s">
        <v>23</v>
      </c>
      <c r="C898" t="s">
        <v>15</v>
      </c>
      <c r="D898" t="s">
        <v>16</v>
      </c>
      <c r="E898" t="s">
        <v>17</v>
      </c>
      <c r="F898" s="1">
        <v>51</v>
      </c>
      <c r="G898" s="1">
        <v>67</v>
      </c>
      <c r="H898" s="1">
        <v>69</v>
      </c>
      <c r="I898" s="1">
        <f t="shared" ref="I898:I961" si="42">AVERAGE(F898:H898)</f>
        <v>62.333333333333336</v>
      </c>
      <c r="J898" t="str">
        <f t="shared" ref="J898:J961" si="43">IF(I898&gt;=80,"Excellent", IF(I898&gt;=60,"Good", IF(I898&gt;=40,"Average","Poor")))</f>
        <v>Good</v>
      </c>
      <c r="K898" t="str">
        <f t="shared" ref="K898:K961" si="44">IF(I898&gt;=40, "Pass","Fail")</f>
        <v>Pass</v>
      </c>
    </row>
    <row r="899" spans="1:11" x14ac:dyDescent="0.25">
      <c r="A899" t="s">
        <v>13</v>
      </c>
      <c r="B899" t="s">
        <v>18</v>
      </c>
      <c r="C899" t="s">
        <v>19</v>
      </c>
      <c r="D899" t="s">
        <v>11</v>
      </c>
      <c r="E899" t="s">
        <v>12</v>
      </c>
      <c r="F899" s="1">
        <v>75</v>
      </c>
      <c r="G899" s="1">
        <v>76</v>
      </c>
      <c r="H899" s="1">
        <v>85</v>
      </c>
      <c r="I899" s="1">
        <f t="shared" si="42"/>
        <v>78.666666666666671</v>
      </c>
      <c r="J899" t="str">
        <f t="shared" si="43"/>
        <v>Good</v>
      </c>
      <c r="K899" t="str">
        <f t="shared" si="44"/>
        <v>Pass</v>
      </c>
    </row>
    <row r="900" spans="1:11" x14ac:dyDescent="0.25">
      <c r="A900" t="s">
        <v>8</v>
      </c>
      <c r="B900" t="s">
        <v>23</v>
      </c>
      <c r="C900" t="s">
        <v>15</v>
      </c>
      <c r="D900" t="s">
        <v>16</v>
      </c>
      <c r="E900" t="s">
        <v>17</v>
      </c>
      <c r="F900" s="1">
        <v>45</v>
      </c>
      <c r="G900" s="1">
        <v>31</v>
      </c>
      <c r="H900" s="1">
        <v>27</v>
      </c>
      <c r="I900" s="1">
        <f t="shared" si="42"/>
        <v>34.333333333333336</v>
      </c>
      <c r="J900" t="str">
        <f t="shared" si="43"/>
        <v>Poor</v>
      </c>
      <c r="K900" t="str">
        <f t="shared" si="44"/>
        <v>Fail</v>
      </c>
    </row>
    <row r="901" spans="1:11" x14ac:dyDescent="0.25">
      <c r="A901" t="s">
        <v>8</v>
      </c>
      <c r="B901" t="s">
        <v>20</v>
      </c>
      <c r="C901" t="s">
        <v>15</v>
      </c>
      <c r="D901" t="s">
        <v>11</v>
      </c>
      <c r="E901" t="s">
        <v>17</v>
      </c>
      <c r="F901" s="1">
        <v>59</v>
      </c>
      <c r="G901" s="1">
        <v>54</v>
      </c>
      <c r="H901" s="1">
        <v>48</v>
      </c>
      <c r="I901" s="1">
        <f t="shared" si="42"/>
        <v>53.666666666666664</v>
      </c>
      <c r="J901" t="str">
        <f t="shared" si="43"/>
        <v>Average</v>
      </c>
      <c r="K901" t="str">
        <f t="shared" si="44"/>
        <v>Pass</v>
      </c>
    </row>
    <row r="902" spans="1:11" x14ac:dyDescent="0.25">
      <c r="A902" t="s">
        <v>13</v>
      </c>
      <c r="B902" t="s">
        <v>18</v>
      </c>
      <c r="C902" t="s">
        <v>10</v>
      </c>
      <c r="D902" t="s">
        <v>16</v>
      </c>
      <c r="E902" t="s">
        <v>17</v>
      </c>
      <c r="F902" s="1">
        <v>64</v>
      </c>
      <c r="G902" s="1">
        <v>69</v>
      </c>
      <c r="H902" s="1">
        <v>68</v>
      </c>
      <c r="I902" s="1">
        <f t="shared" si="42"/>
        <v>67</v>
      </c>
      <c r="J902" t="str">
        <f t="shared" si="43"/>
        <v>Good</v>
      </c>
      <c r="K902" t="str">
        <f t="shared" si="44"/>
        <v>Pass</v>
      </c>
    </row>
    <row r="903" spans="1:11" x14ac:dyDescent="0.25">
      <c r="A903" t="s">
        <v>8</v>
      </c>
      <c r="B903" t="s">
        <v>9</v>
      </c>
      <c r="C903" t="s">
        <v>19</v>
      </c>
      <c r="D903" t="s">
        <v>11</v>
      </c>
      <c r="E903" t="s">
        <v>12</v>
      </c>
      <c r="F903" s="1">
        <v>78</v>
      </c>
      <c r="G903" s="1">
        <v>69</v>
      </c>
      <c r="H903" s="1">
        <v>73</v>
      </c>
      <c r="I903" s="1">
        <f t="shared" si="42"/>
        <v>73.333333333333329</v>
      </c>
      <c r="J903" t="str">
        <f t="shared" si="43"/>
        <v>Good</v>
      </c>
      <c r="K903" t="str">
        <f t="shared" si="44"/>
        <v>Pass</v>
      </c>
    </row>
    <row r="904" spans="1:11" x14ac:dyDescent="0.25">
      <c r="A904" t="s">
        <v>8</v>
      </c>
      <c r="B904" t="s">
        <v>14</v>
      </c>
      <c r="C904" t="s">
        <v>10</v>
      </c>
      <c r="D904" t="s">
        <v>16</v>
      </c>
      <c r="E904" t="s">
        <v>17</v>
      </c>
      <c r="F904" s="1">
        <v>59</v>
      </c>
      <c r="G904" s="1">
        <v>61</v>
      </c>
      <c r="H904" s="1">
        <v>58</v>
      </c>
      <c r="I904" s="1">
        <f t="shared" si="42"/>
        <v>59.333333333333336</v>
      </c>
      <c r="J904" t="str">
        <f t="shared" si="43"/>
        <v>Average</v>
      </c>
      <c r="K904" t="str">
        <f t="shared" si="44"/>
        <v>Pass</v>
      </c>
    </row>
    <row r="905" spans="1:11" x14ac:dyDescent="0.25">
      <c r="A905" t="s">
        <v>8</v>
      </c>
      <c r="B905" t="s">
        <v>18</v>
      </c>
      <c r="C905" t="s">
        <v>22</v>
      </c>
      <c r="D905" t="s">
        <v>16</v>
      </c>
      <c r="E905" t="s">
        <v>17</v>
      </c>
      <c r="F905" s="1">
        <v>80</v>
      </c>
      <c r="G905" s="1">
        <v>70</v>
      </c>
      <c r="H905" s="1">
        <v>71</v>
      </c>
      <c r="I905" s="1">
        <f t="shared" si="42"/>
        <v>73.666666666666671</v>
      </c>
      <c r="J905" t="str">
        <f t="shared" si="43"/>
        <v>Good</v>
      </c>
      <c r="K905" t="str">
        <f t="shared" si="44"/>
        <v>Pass</v>
      </c>
    </row>
    <row r="906" spans="1:11" x14ac:dyDescent="0.25">
      <c r="A906" t="s">
        <v>8</v>
      </c>
      <c r="B906" t="s">
        <v>20</v>
      </c>
      <c r="C906" t="s">
        <v>21</v>
      </c>
      <c r="D906" t="s">
        <v>11</v>
      </c>
      <c r="E906" t="s">
        <v>12</v>
      </c>
      <c r="F906" s="1">
        <v>68</v>
      </c>
      <c r="G906" s="1">
        <v>82</v>
      </c>
      <c r="H906" s="1">
        <v>77</v>
      </c>
      <c r="I906" s="1">
        <f t="shared" si="42"/>
        <v>75.666666666666671</v>
      </c>
      <c r="J906" t="str">
        <f t="shared" si="43"/>
        <v>Good</v>
      </c>
      <c r="K906" t="str">
        <f t="shared" si="44"/>
        <v>Pass</v>
      </c>
    </row>
    <row r="907" spans="1:11" x14ac:dyDescent="0.25">
      <c r="A907" t="s">
        <v>13</v>
      </c>
      <c r="B907" t="s">
        <v>20</v>
      </c>
      <c r="C907" t="s">
        <v>21</v>
      </c>
      <c r="D907" t="s">
        <v>11</v>
      </c>
      <c r="E907" t="s">
        <v>17</v>
      </c>
      <c r="F907" s="1">
        <v>77</v>
      </c>
      <c r="G907" s="1">
        <v>81</v>
      </c>
      <c r="H907" s="1">
        <v>79</v>
      </c>
      <c r="I907" s="1">
        <f t="shared" si="42"/>
        <v>79</v>
      </c>
      <c r="J907" t="str">
        <f t="shared" si="43"/>
        <v>Good</v>
      </c>
      <c r="K907" t="str">
        <f t="shared" si="44"/>
        <v>Pass</v>
      </c>
    </row>
    <row r="908" spans="1:11" x14ac:dyDescent="0.25">
      <c r="A908" t="s">
        <v>8</v>
      </c>
      <c r="B908" t="s">
        <v>23</v>
      </c>
      <c r="C908" t="s">
        <v>10</v>
      </c>
      <c r="D908" t="s">
        <v>11</v>
      </c>
      <c r="E908" t="s">
        <v>17</v>
      </c>
      <c r="F908" s="1">
        <v>66</v>
      </c>
      <c r="G908" s="1">
        <v>67</v>
      </c>
      <c r="H908" s="1">
        <v>64</v>
      </c>
      <c r="I908" s="1">
        <f t="shared" si="42"/>
        <v>65.666666666666671</v>
      </c>
      <c r="J908" t="str">
        <f t="shared" si="43"/>
        <v>Good</v>
      </c>
      <c r="K908" t="str">
        <f t="shared" si="44"/>
        <v>Pass</v>
      </c>
    </row>
    <row r="909" spans="1:11" x14ac:dyDescent="0.25">
      <c r="A909" t="s">
        <v>13</v>
      </c>
      <c r="B909" t="s">
        <v>23</v>
      </c>
      <c r="C909" t="s">
        <v>19</v>
      </c>
      <c r="D909" t="s">
        <v>16</v>
      </c>
      <c r="E909" t="s">
        <v>12</v>
      </c>
      <c r="F909" s="1">
        <v>26</v>
      </c>
      <c r="G909" s="1">
        <v>44</v>
      </c>
      <c r="H909" s="1">
        <v>46</v>
      </c>
      <c r="I909" s="1">
        <f t="shared" si="42"/>
        <v>38.666666666666664</v>
      </c>
      <c r="J909" t="str">
        <f t="shared" si="43"/>
        <v>Poor</v>
      </c>
      <c r="K909" t="str">
        <f t="shared" si="44"/>
        <v>Fail</v>
      </c>
    </row>
    <row r="910" spans="1:11" x14ac:dyDescent="0.25">
      <c r="A910" t="s">
        <v>8</v>
      </c>
      <c r="B910" t="s">
        <v>14</v>
      </c>
      <c r="C910" t="s">
        <v>19</v>
      </c>
      <c r="D910" t="s">
        <v>11</v>
      </c>
      <c r="E910" t="s">
        <v>12</v>
      </c>
      <c r="F910" s="1">
        <v>80</v>
      </c>
      <c r="G910" s="1">
        <v>66</v>
      </c>
      <c r="H910" s="1">
        <v>69</v>
      </c>
      <c r="I910" s="1">
        <f t="shared" si="42"/>
        <v>71.666666666666671</v>
      </c>
      <c r="J910" t="str">
        <f t="shared" si="43"/>
        <v>Good</v>
      </c>
      <c r="K910" t="str">
        <f t="shared" si="44"/>
        <v>Pass</v>
      </c>
    </row>
    <row r="911" spans="1:11" x14ac:dyDescent="0.25">
      <c r="A911" t="s">
        <v>13</v>
      </c>
      <c r="B911" t="s">
        <v>14</v>
      </c>
      <c r="C911" t="s">
        <v>15</v>
      </c>
      <c r="D911" t="s">
        <v>16</v>
      </c>
      <c r="E911" t="s">
        <v>17</v>
      </c>
      <c r="F911" s="1">
        <v>48</v>
      </c>
      <c r="G911" s="1">
        <v>62</v>
      </c>
      <c r="H911" s="1">
        <v>61</v>
      </c>
      <c r="I911" s="1">
        <f t="shared" si="42"/>
        <v>57</v>
      </c>
      <c r="J911" t="str">
        <f t="shared" si="43"/>
        <v>Average</v>
      </c>
      <c r="K911" t="str">
        <f t="shared" si="44"/>
        <v>Pass</v>
      </c>
    </row>
    <row r="912" spans="1:11" x14ac:dyDescent="0.25">
      <c r="A912" t="s">
        <v>13</v>
      </c>
      <c r="B912" t="s">
        <v>9</v>
      </c>
      <c r="C912" t="s">
        <v>21</v>
      </c>
      <c r="D912" t="s">
        <v>11</v>
      </c>
      <c r="E912" t="s">
        <v>17</v>
      </c>
      <c r="F912" s="1">
        <v>52</v>
      </c>
      <c r="G912" s="1">
        <v>64</v>
      </c>
      <c r="H912" s="1">
        <v>55</v>
      </c>
      <c r="I912" s="1">
        <f t="shared" si="42"/>
        <v>57</v>
      </c>
      <c r="J912" t="str">
        <f t="shared" si="43"/>
        <v>Average</v>
      </c>
      <c r="K912" t="str">
        <f t="shared" si="44"/>
        <v>Pass</v>
      </c>
    </row>
    <row r="913" spans="1:11" x14ac:dyDescent="0.25">
      <c r="A913" t="s">
        <v>13</v>
      </c>
      <c r="B913" t="s">
        <v>14</v>
      </c>
      <c r="C913" t="s">
        <v>24</v>
      </c>
      <c r="D913" t="s">
        <v>16</v>
      </c>
      <c r="E913" t="s">
        <v>17</v>
      </c>
      <c r="F913" s="1">
        <v>54</v>
      </c>
      <c r="G913" s="1">
        <v>64</v>
      </c>
      <c r="H913" s="1">
        <v>64</v>
      </c>
      <c r="I913" s="1">
        <f t="shared" si="42"/>
        <v>60.666666666666664</v>
      </c>
      <c r="J913" t="str">
        <f t="shared" si="43"/>
        <v>Good</v>
      </c>
      <c r="K913" t="str">
        <f t="shared" si="44"/>
        <v>Pass</v>
      </c>
    </row>
    <row r="914" spans="1:11" x14ac:dyDescent="0.25">
      <c r="A914" t="s">
        <v>13</v>
      </c>
      <c r="B914" t="s">
        <v>23</v>
      </c>
      <c r="C914" t="s">
        <v>19</v>
      </c>
      <c r="D914" t="s">
        <v>11</v>
      </c>
      <c r="E914" t="s">
        <v>12</v>
      </c>
      <c r="F914" s="1">
        <v>59</v>
      </c>
      <c r="G914" s="1">
        <v>68</v>
      </c>
      <c r="H914" s="1">
        <v>67</v>
      </c>
      <c r="I914" s="1">
        <f t="shared" si="42"/>
        <v>64.666666666666671</v>
      </c>
      <c r="J914" t="str">
        <f t="shared" si="43"/>
        <v>Good</v>
      </c>
      <c r="K914" t="str">
        <f t="shared" si="44"/>
        <v>Pass</v>
      </c>
    </row>
    <row r="915" spans="1:11" hidden="1" x14ac:dyDescent="0.25">
      <c r="F915"/>
      <c r="G915"/>
      <c r="H915"/>
    </row>
    <row r="916" spans="1:11" x14ac:dyDescent="0.25">
      <c r="A916" t="s">
        <v>8</v>
      </c>
      <c r="B916" t="s">
        <v>9</v>
      </c>
      <c r="C916" t="s">
        <v>10</v>
      </c>
      <c r="D916" t="s">
        <v>11</v>
      </c>
      <c r="E916" t="s">
        <v>12</v>
      </c>
      <c r="F916" s="1">
        <v>67.422391375727699</v>
      </c>
      <c r="G916" s="1">
        <v>70.233958311862906</v>
      </c>
      <c r="H916" s="1">
        <v>68.882094520912403</v>
      </c>
      <c r="I916" s="1">
        <f t="shared" si="42"/>
        <v>68.846148069500998</v>
      </c>
      <c r="J916" t="str">
        <f t="shared" si="43"/>
        <v>Good</v>
      </c>
      <c r="K916" t="str">
        <f t="shared" si="44"/>
        <v>Pass</v>
      </c>
    </row>
    <row r="917" spans="1:11" x14ac:dyDescent="0.25">
      <c r="A917" t="s">
        <v>13</v>
      </c>
      <c r="B917" t="s">
        <v>14</v>
      </c>
      <c r="C917" t="s">
        <v>15</v>
      </c>
      <c r="D917" t="s">
        <v>16</v>
      </c>
      <c r="E917" t="s">
        <v>17</v>
      </c>
      <c r="F917" s="1">
        <v>67.424507972964193</v>
      </c>
      <c r="G917" s="1">
        <v>70.236148499465699</v>
      </c>
      <c r="H917" s="1">
        <v>68.884266525054699</v>
      </c>
      <c r="I917" s="1">
        <f t="shared" si="42"/>
        <v>68.848307665828187</v>
      </c>
      <c r="J917" t="str">
        <f t="shared" si="43"/>
        <v>Good</v>
      </c>
      <c r="K917" t="str">
        <f t="shared" si="44"/>
        <v>Pass</v>
      </c>
    </row>
    <row r="918" spans="1:11" x14ac:dyDescent="0.25">
      <c r="A918" t="s">
        <v>8</v>
      </c>
      <c r="B918" t="s">
        <v>18</v>
      </c>
      <c r="C918" t="s">
        <v>19</v>
      </c>
      <c r="D918" t="s">
        <v>16</v>
      </c>
      <c r="E918" t="s">
        <v>17</v>
      </c>
      <c r="F918" s="1">
        <v>67.426624570200602</v>
      </c>
      <c r="G918" s="1">
        <v>70.238338687068506</v>
      </c>
      <c r="H918" s="1">
        <v>68.886438529196894</v>
      </c>
      <c r="I918" s="1">
        <f t="shared" si="42"/>
        <v>68.850467262155334</v>
      </c>
      <c r="J918" t="str">
        <f t="shared" si="43"/>
        <v>Good</v>
      </c>
      <c r="K918" t="str">
        <f t="shared" si="44"/>
        <v>Pass</v>
      </c>
    </row>
    <row r="919" spans="1:11" x14ac:dyDescent="0.25">
      <c r="A919" t="s">
        <v>8</v>
      </c>
      <c r="B919" t="s">
        <v>20</v>
      </c>
      <c r="C919" t="s">
        <v>10</v>
      </c>
      <c r="D919" t="s">
        <v>11</v>
      </c>
      <c r="E919" t="s">
        <v>17</v>
      </c>
      <c r="F919" s="1">
        <v>67.428741167437096</v>
      </c>
      <c r="G919" s="1">
        <v>70.240528874671298</v>
      </c>
      <c r="H919" s="1">
        <v>68.888610533339204</v>
      </c>
      <c r="I919" s="1">
        <f t="shared" si="42"/>
        <v>68.852626858482537</v>
      </c>
      <c r="J919" t="str">
        <f t="shared" si="43"/>
        <v>Good</v>
      </c>
      <c r="K919" t="str">
        <f t="shared" si="44"/>
        <v>Pass</v>
      </c>
    </row>
    <row r="920" spans="1:11" x14ac:dyDescent="0.25">
      <c r="A920" t="s">
        <v>8</v>
      </c>
      <c r="B920" t="s">
        <v>18</v>
      </c>
      <c r="C920" t="s">
        <v>21</v>
      </c>
      <c r="D920" t="s">
        <v>11</v>
      </c>
      <c r="E920" t="s">
        <v>12</v>
      </c>
      <c r="F920" s="1">
        <v>67.430857764673604</v>
      </c>
      <c r="G920" s="1">
        <v>70.242719062274105</v>
      </c>
      <c r="H920" s="1">
        <v>68.890782537481499</v>
      </c>
      <c r="I920" s="1">
        <f t="shared" si="42"/>
        <v>68.854786454809741</v>
      </c>
      <c r="J920" t="str">
        <f t="shared" si="43"/>
        <v>Good</v>
      </c>
      <c r="K920" t="str">
        <f t="shared" si="44"/>
        <v>Pass</v>
      </c>
    </row>
    <row r="921" spans="1:11" x14ac:dyDescent="0.25">
      <c r="A921" t="s">
        <v>13</v>
      </c>
      <c r="B921" t="s">
        <v>14</v>
      </c>
      <c r="C921" t="s">
        <v>10</v>
      </c>
      <c r="D921" t="s">
        <v>11</v>
      </c>
      <c r="E921" t="s">
        <v>17</v>
      </c>
      <c r="F921" s="1">
        <v>67.432974361909999</v>
      </c>
      <c r="G921" s="1">
        <v>70.244909249876798</v>
      </c>
      <c r="H921" s="1">
        <v>68.892954541623794</v>
      </c>
      <c r="I921" s="1">
        <f t="shared" si="42"/>
        <v>68.856946051136859</v>
      </c>
      <c r="J921" t="str">
        <f t="shared" si="43"/>
        <v>Good</v>
      </c>
      <c r="K921" t="str">
        <f t="shared" si="44"/>
        <v>Pass</v>
      </c>
    </row>
    <row r="922" spans="1:11" x14ac:dyDescent="0.25">
      <c r="A922" t="s">
        <v>13</v>
      </c>
      <c r="B922" t="s">
        <v>9</v>
      </c>
      <c r="C922" t="s">
        <v>22</v>
      </c>
      <c r="D922" t="s">
        <v>11</v>
      </c>
      <c r="E922" t="s">
        <v>17</v>
      </c>
      <c r="F922" s="1">
        <v>67.435090959146507</v>
      </c>
      <c r="G922" s="1">
        <v>70.247099437479605</v>
      </c>
      <c r="H922" s="1">
        <v>68.895126545766004</v>
      </c>
      <c r="I922" s="1">
        <f t="shared" si="42"/>
        <v>68.859105647464034</v>
      </c>
      <c r="J922" t="str">
        <f t="shared" si="43"/>
        <v>Good</v>
      </c>
      <c r="K922" t="str">
        <f t="shared" si="44"/>
        <v>Pass</v>
      </c>
    </row>
    <row r="923" spans="1:11" x14ac:dyDescent="0.25">
      <c r="A923" t="s">
        <v>8</v>
      </c>
      <c r="B923" t="s">
        <v>18</v>
      </c>
      <c r="C923" t="s">
        <v>19</v>
      </c>
      <c r="D923" t="s">
        <v>11</v>
      </c>
      <c r="E923" t="s">
        <v>12</v>
      </c>
      <c r="F923" s="1">
        <v>67.437207556383001</v>
      </c>
      <c r="G923" s="1">
        <v>70.249289625082397</v>
      </c>
      <c r="H923" s="1">
        <v>68.897298549908299</v>
      </c>
      <c r="I923" s="1">
        <f t="shared" si="42"/>
        <v>68.861265243791237</v>
      </c>
      <c r="J923" t="str">
        <f t="shared" si="43"/>
        <v>Good</v>
      </c>
      <c r="K923" t="str">
        <f t="shared" si="44"/>
        <v>Pass</v>
      </c>
    </row>
    <row r="924" spans="1:11" x14ac:dyDescent="0.25">
      <c r="A924" t="s">
        <v>8</v>
      </c>
      <c r="B924" t="s">
        <v>14</v>
      </c>
      <c r="C924" t="s">
        <v>10</v>
      </c>
      <c r="D924" t="s">
        <v>11</v>
      </c>
      <c r="E924" t="s">
        <v>17</v>
      </c>
      <c r="F924" s="1">
        <v>67.439324153619495</v>
      </c>
      <c r="G924" s="1">
        <v>70.251479812685204</v>
      </c>
      <c r="H924" s="1">
        <v>68.899470554050595</v>
      </c>
      <c r="I924" s="1">
        <f t="shared" si="42"/>
        <v>68.863424840118441</v>
      </c>
      <c r="J924" t="str">
        <f t="shared" si="43"/>
        <v>Good</v>
      </c>
      <c r="K924" t="str">
        <f t="shared" si="44"/>
        <v>Pass</v>
      </c>
    </row>
    <row r="925" spans="1:11" x14ac:dyDescent="0.25">
      <c r="A925" t="s">
        <v>8</v>
      </c>
      <c r="B925" t="s">
        <v>23</v>
      </c>
      <c r="C925" t="s">
        <v>19</v>
      </c>
      <c r="D925" t="s">
        <v>16</v>
      </c>
      <c r="E925" t="s">
        <v>17</v>
      </c>
      <c r="F925" s="1">
        <v>67.441440750855904</v>
      </c>
      <c r="G925" s="1">
        <v>70.253670000287997</v>
      </c>
      <c r="H925" s="1">
        <v>68.901642558192904</v>
      </c>
      <c r="I925" s="1">
        <f t="shared" si="42"/>
        <v>68.865584436445602</v>
      </c>
      <c r="J925" t="str">
        <f t="shared" si="43"/>
        <v>Good</v>
      </c>
      <c r="K925" t="str">
        <f t="shared" si="44"/>
        <v>Pass</v>
      </c>
    </row>
    <row r="926" spans="1:11" x14ac:dyDescent="0.25">
      <c r="A926" t="s">
        <v>8</v>
      </c>
      <c r="B926" t="s">
        <v>18</v>
      </c>
      <c r="C926" t="s">
        <v>19</v>
      </c>
      <c r="D926" t="s">
        <v>11</v>
      </c>
      <c r="E926" t="s">
        <v>12</v>
      </c>
      <c r="F926" s="1">
        <v>67.443557348092398</v>
      </c>
      <c r="G926" s="1">
        <v>70.255860187890804</v>
      </c>
      <c r="H926" s="1">
        <v>68.903814562335199</v>
      </c>
      <c r="I926" s="1">
        <f t="shared" si="42"/>
        <v>68.867744032772805</v>
      </c>
      <c r="J926" t="str">
        <f t="shared" si="43"/>
        <v>Good</v>
      </c>
      <c r="K926" t="str">
        <f t="shared" si="44"/>
        <v>Pass</v>
      </c>
    </row>
    <row r="927" spans="1:11" x14ac:dyDescent="0.25">
      <c r="A927" t="s">
        <v>13</v>
      </c>
      <c r="B927" t="s">
        <v>14</v>
      </c>
      <c r="C927" t="s">
        <v>10</v>
      </c>
      <c r="D927" t="s">
        <v>11</v>
      </c>
      <c r="E927" t="s">
        <v>12</v>
      </c>
      <c r="F927" s="1">
        <v>67.445673945328807</v>
      </c>
      <c r="G927" s="1">
        <v>70.258050375493596</v>
      </c>
      <c r="H927" s="1">
        <v>68.905986566477395</v>
      </c>
      <c r="I927" s="1">
        <f t="shared" si="42"/>
        <v>68.869903629099937</v>
      </c>
      <c r="J927" t="str">
        <f t="shared" si="43"/>
        <v>Good</v>
      </c>
      <c r="K927" t="str">
        <f t="shared" si="44"/>
        <v>Pass</v>
      </c>
    </row>
    <row r="928" spans="1:11" x14ac:dyDescent="0.25">
      <c r="A928" t="s">
        <v>8</v>
      </c>
      <c r="B928" t="s">
        <v>14</v>
      </c>
      <c r="C928" t="s">
        <v>21</v>
      </c>
      <c r="D928" t="s">
        <v>11</v>
      </c>
      <c r="E928" t="s">
        <v>12</v>
      </c>
      <c r="F928" s="1">
        <v>67.447790542565301</v>
      </c>
      <c r="G928" s="1">
        <v>70.260240563096303</v>
      </c>
      <c r="H928" s="1">
        <v>68.908158570619705</v>
      </c>
      <c r="I928" s="1">
        <f t="shared" si="42"/>
        <v>68.872063225427098</v>
      </c>
      <c r="J928" t="str">
        <f t="shared" si="43"/>
        <v>Good</v>
      </c>
      <c r="K928" t="str">
        <f t="shared" si="44"/>
        <v>Pass</v>
      </c>
    </row>
    <row r="929" spans="1:11" x14ac:dyDescent="0.25">
      <c r="A929" t="s">
        <v>8</v>
      </c>
      <c r="B929" t="s">
        <v>23</v>
      </c>
      <c r="C929" t="s">
        <v>10</v>
      </c>
      <c r="D929" t="s">
        <v>11</v>
      </c>
      <c r="E929" t="s">
        <v>12</v>
      </c>
      <c r="F929" s="1">
        <v>67.449907139801795</v>
      </c>
      <c r="G929" s="1">
        <v>70.262430750699096</v>
      </c>
      <c r="H929" s="1">
        <v>68.910330574762</v>
      </c>
      <c r="I929" s="1">
        <f t="shared" si="42"/>
        <v>68.874222821754302</v>
      </c>
      <c r="J929" t="str">
        <f t="shared" si="43"/>
        <v>Good</v>
      </c>
      <c r="K929" t="str">
        <f t="shared" si="44"/>
        <v>Pass</v>
      </c>
    </row>
    <row r="930" spans="1:11" x14ac:dyDescent="0.25">
      <c r="A930" t="s">
        <v>8</v>
      </c>
      <c r="B930" t="s">
        <v>18</v>
      </c>
      <c r="C930" t="s">
        <v>15</v>
      </c>
      <c r="D930" t="s">
        <v>11</v>
      </c>
      <c r="E930" t="s">
        <v>12</v>
      </c>
      <c r="F930" s="1">
        <v>67.452023737038203</v>
      </c>
      <c r="G930" s="1">
        <v>70.264620938301903</v>
      </c>
      <c r="H930" s="1">
        <v>68.912502578904295</v>
      </c>
      <c r="I930" s="1">
        <f t="shared" si="42"/>
        <v>68.876382418081462</v>
      </c>
      <c r="J930" t="str">
        <f t="shared" si="43"/>
        <v>Good</v>
      </c>
      <c r="K930" t="str">
        <f t="shared" si="44"/>
        <v>Pass</v>
      </c>
    </row>
    <row r="931" spans="1:11" x14ac:dyDescent="0.25">
      <c r="A931" t="s">
        <v>8</v>
      </c>
      <c r="B931" t="s">
        <v>18</v>
      </c>
      <c r="C931" t="s">
        <v>21</v>
      </c>
      <c r="D931" t="s">
        <v>16</v>
      </c>
      <c r="E931" t="s">
        <v>17</v>
      </c>
      <c r="F931" s="1">
        <v>67.454140334274697</v>
      </c>
      <c r="G931" s="1">
        <v>70.266811125904695</v>
      </c>
      <c r="H931" s="1">
        <v>68.914674583046505</v>
      </c>
      <c r="I931" s="1">
        <f t="shared" si="42"/>
        <v>68.878542014408637</v>
      </c>
      <c r="J931" t="str">
        <f t="shared" si="43"/>
        <v>Good</v>
      </c>
      <c r="K931" t="str">
        <f t="shared" si="44"/>
        <v>Pass</v>
      </c>
    </row>
    <row r="932" spans="1:11" x14ac:dyDescent="0.25">
      <c r="A932" t="s">
        <v>8</v>
      </c>
      <c r="B932" t="s">
        <v>20</v>
      </c>
      <c r="C932" t="s">
        <v>10</v>
      </c>
      <c r="D932" t="s">
        <v>11</v>
      </c>
      <c r="E932" t="s">
        <v>17</v>
      </c>
      <c r="F932" s="1">
        <v>67.456256931511206</v>
      </c>
      <c r="G932" s="1">
        <v>70.269001313507502</v>
      </c>
      <c r="H932" s="1">
        <v>68.9168465871888</v>
      </c>
      <c r="I932" s="1">
        <f t="shared" si="42"/>
        <v>68.880701610735841</v>
      </c>
      <c r="J932" t="str">
        <f t="shared" si="43"/>
        <v>Good</v>
      </c>
      <c r="K932" t="str">
        <f t="shared" si="44"/>
        <v>Pass</v>
      </c>
    </row>
    <row r="933" spans="1:11" x14ac:dyDescent="0.25">
      <c r="A933" t="s">
        <v>13</v>
      </c>
      <c r="B933" t="s">
        <v>23</v>
      </c>
      <c r="C933" t="s">
        <v>21</v>
      </c>
      <c r="D933" t="s">
        <v>11</v>
      </c>
      <c r="E933" t="s">
        <v>12</v>
      </c>
      <c r="F933" s="1">
        <v>67.4583735287477</v>
      </c>
      <c r="G933" s="1">
        <v>70.271191501110295</v>
      </c>
      <c r="H933" s="1">
        <v>68.919018591331096</v>
      </c>
      <c r="I933" s="1">
        <f t="shared" si="42"/>
        <v>68.882861207063044</v>
      </c>
      <c r="J933" t="str">
        <f t="shared" si="43"/>
        <v>Good</v>
      </c>
      <c r="K933" t="str">
        <f t="shared" si="44"/>
        <v>Pass</v>
      </c>
    </row>
    <row r="934" spans="1:11" x14ac:dyDescent="0.25">
      <c r="A934" t="s">
        <v>13</v>
      </c>
      <c r="B934" t="s">
        <v>23</v>
      </c>
      <c r="C934" t="s">
        <v>21</v>
      </c>
      <c r="D934" t="s">
        <v>16</v>
      </c>
      <c r="E934" t="s">
        <v>17</v>
      </c>
      <c r="F934" s="1">
        <v>67.460490125984094</v>
      </c>
      <c r="G934" s="1">
        <v>70.273381688713101</v>
      </c>
      <c r="H934" s="1">
        <v>68.921190595473405</v>
      </c>
      <c r="I934" s="1">
        <f t="shared" si="42"/>
        <v>68.885020803390191</v>
      </c>
      <c r="J934" t="str">
        <f t="shared" si="43"/>
        <v>Good</v>
      </c>
      <c r="K934" t="str">
        <f t="shared" si="44"/>
        <v>Pass</v>
      </c>
    </row>
    <row r="935" spans="1:11" x14ac:dyDescent="0.25">
      <c r="A935" t="s">
        <v>8</v>
      </c>
      <c r="B935" t="s">
        <v>23</v>
      </c>
      <c r="C935" t="s">
        <v>19</v>
      </c>
      <c r="D935" t="s">
        <v>16</v>
      </c>
      <c r="E935" t="s">
        <v>17</v>
      </c>
      <c r="F935" s="1">
        <v>67.462606723220603</v>
      </c>
      <c r="G935" s="1">
        <v>70.275571876315894</v>
      </c>
      <c r="H935" s="1">
        <v>68.9233625996157</v>
      </c>
      <c r="I935" s="1">
        <f t="shared" si="42"/>
        <v>68.887180399717394</v>
      </c>
      <c r="J935" t="str">
        <f t="shared" si="43"/>
        <v>Good</v>
      </c>
      <c r="K935" t="str">
        <f t="shared" si="44"/>
        <v>Pass</v>
      </c>
    </row>
    <row r="936" spans="1:11" x14ac:dyDescent="0.25">
      <c r="A936" t="s">
        <v>13</v>
      </c>
      <c r="B936" t="s">
        <v>23</v>
      </c>
      <c r="C936" t="s">
        <v>21</v>
      </c>
      <c r="D936" t="s">
        <v>11</v>
      </c>
      <c r="E936" t="s">
        <v>17</v>
      </c>
      <c r="F936" s="1">
        <v>67.464723320457097</v>
      </c>
      <c r="G936" s="1">
        <v>70.277762063918601</v>
      </c>
      <c r="H936" s="1">
        <v>68.925534603757896</v>
      </c>
      <c r="I936" s="1">
        <f t="shared" si="42"/>
        <v>68.889339996044541</v>
      </c>
      <c r="J936" t="str">
        <f t="shared" si="43"/>
        <v>Good</v>
      </c>
      <c r="K936" t="str">
        <f t="shared" si="44"/>
        <v>Pass</v>
      </c>
    </row>
    <row r="937" spans="1:11" x14ac:dyDescent="0.25">
      <c r="A937" t="s">
        <v>8</v>
      </c>
      <c r="B937" t="s">
        <v>23</v>
      </c>
      <c r="C937" t="s">
        <v>21</v>
      </c>
      <c r="D937" t="s">
        <v>11</v>
      </c>
      <c r="E937" t="s">
        <v>17</v>
      </c>
      <c r="F937" s="1">
        <v>67.466839917693505</v>
      </c>
      <c r="G937" s="1">
        <v>70.279952251521394</v>
      </c>
      <c r="H937" s="1">
        <v>68.927706607900205</v>
      </c>
      <c r="I937" s="1">
        <f t="shared" si="42"/>
        <v>68.891499592371702</v>
      </c>
      <c r="J937" t="str">
        <f t="shared" si="43"/>
        <v>Good</v>
      </c>
      <c r="K937" t="str">
        <f t="shared" si="44"/>
        <v>Pass</v>
      </c>
    </row>
    <row r="938" spans="1:11" x14ac:dyDescent="0.25">
      <c r="A938" t="s">
        <v>8</v>
      </c>
      <c r="B938" t="s">
        <v>20</v>
      </c>
      <c r="C938" t="s">
        <v>19</v>
      </c>
      <c r="D938" t="s">
        <v>11</v>
      </c>
      <c r="E938" t="s">
        <v>12</v>
      </c>
      <c r="F938" s="1">
        <v>67.468956514929999</v>
      </c>
      <c r="G938" s="1">
        <v>70.2821424391242</v>
      </c>
      <c r="H938" s="1">
        <v>68.929878612042501</v>
      </c>
      <c r="I938" s="1">
        <f t="shared" si="42"/>
        <v>68.893659188698905</v>
      </c>
      <c r="J938" t="str">
        <f t="shared" si="43"/>
        <v>Good</v>
      </c>
      <c r="K938" t="str">
        <f t="shared" si="44"/>
        <v>Pass</v>
      </c>
    </row>
    <row r="939" spans="1:11" x14ac:dyDescent="0.25">
      <c r="A939" t="s">
        <v>13</v>
      </c>
      <c r="B939" t="s">
        <v>20</v>
      </c>
      <c r="C939" t="s">
        <v>19</v>
      </c>
      <c r="D939" t="s">
        <v>16</v>
      </c>
      <c r="E939" t="s">
        <v>17</v>
      </c>
      <c r="F939" s="1">
        <v>67.471073112166494</v>
      </c>
      <c r="G939" s="1">
        <v>70.284332626726993</v>
      </c>
      <c r="H939" s="1">
        <v>68.932050616184796</v>
      </c>
      <c r="I939" s="1">
        <f t="shared" si="42"/>
        <v>68.895818785026094</v>
      </c>
      <c r="J939" t="str">
        <f t="shared" si="43"/>
        <v>Good</v>
      </c>
      <c r="K939" t="str">
        <f t="shared" si="44"/>
        <v>Pass</v>
      </c>
    </row>
    <row r="940" spans="1:11" x14ac:dyDescent="0.25">
      <c r="A940" t="s">
        <v>8</v>
      </c>
      <c r="B940" t="s">
        <v>18</v>
      </c>
      <c r="C940" t="s">
        <v>15</v>
      </c>
      <c r="D940" t="s">
        <v>16</v>
      </c>
      <c r="E940" t="s">
        <v>17</v>
      </c>
      <c r="F940" s="1">
        <v>67.473189709402902</v>
      </c>
      <c r="G940" s="1">
        <v>70.2865228143298</v>
      </c>
      <c r="H940" s="1">
        <v>68.934222620327006</v>
      </c>
      <c r="I940" s="1">
        <f t="shared" si="42"/>
        <v>68.897978381353241</v>
      </c>
      <c r="J940" t="str">
        <f t="shared" si="43"/>
        <v>Good</v>
      </c>
      <c r="K940" t="str">
        <f t="shared" si="44"/>
        <v>Pass</v>
      </c>
    </row>
    <row r="941" spans="1:11" x14ac:dyDescent="0.25">
      <c r="A941" t="s">
        <v>8</v>
      </c>
      <c r="B941" t="s">
        <v>23</v>
      </c>
      <c r="C941" t="s">
        <v>10</v>
      </c>
      <c r="D941" t="s">
        <v>16</v>
      </c>
      <c r="E941" t="s">
        <v>17</v>
      </c>
      <c r="F941" s="1">
        <v>67.475306306639396</v>
      </c>
      <c r="G941" s="1">
        <v>70.288713001932607</v>
      </c>
      <c r="H941" s="1">
        <v>68.936394624469301</v>
      </c>
      <c r="I941" s="1">
        <f t="shared" si="42"/>
        <v>68.900137977680444</v>
      </c>
      <c r="J941" t="str">
        <f t="shared" si="43"/>
        <v>Good</v>
      </c>
      <c r="K941" t="str">
        <f t="shared" si="44"/>
        <v>Pass</v>
      </c>
    </row>
    <row r="942" spans="1:11" x14ac:dyDescent="0.25">
      <c r="A942" t="s">
        <v>13</v>
      </c>
      <c r="B942" t="s">
        <v>23</v>
      </c>
      <c r="C942" t="s">
        <v>15</v>
      </c>
      <c r="D942" t="s">
        <v>11</v>
      </c>
      <c r="E942" t="s">
        <v>17</v>
      </c>
      <c r="F942" s="1">
        <v>67.477422903875905</v>
      </c>
      <c r="G942" s="1">
        <v>70.2909031895353</v>
      </c>
      <c r="H942" s="1">
        <v>68.938566628611596</v>
      </c>
      <c r="I942" s="1">
        <f t="shared" si="42"/>
        <v>68.902297574007591</v>
      </c>
      <c r="J942" t="str">
        <f t="shared" si="43"/>
        <v>Good</v>
      </c>
      <c r="K942" t="str">
        <f t="shared" si="44"/>
        <v>Pass</v>
      </c>
    </row>
    <row r="943" spans="1:11" x14ac:dyDescent="0.25">
      <c r="A943" t="s">
        <v>8</v>
      </c>
      <c r="B943" t="s">
        <v>18</v>
      </c>
      <c r="C943" t="s">
        <v>10</v>
      </c>
      <c r="D943" t="s">
        <v>11</v>
      </c>
      <c r="E943" t="s">
        <v>17</v>
      </c>
      <c r="F943" s="1">
        <v>67.479539501112299</v>
      </c>
      <c r="G943" s="1">
        <v>70.293093377138106</v>
      </c>
      <c r="H943" s="1">
        <v>68.940738632753906</v>
      </c>
      <c r="I943" s="1">
        <f t="shared" si="42"/>
        <v>68.904457170334766</v>
      </c>
      <c r="J943" t="str">
        <f t="shared" si="43"/>
        <v>Good</v>
      </c>
      <c r="K943" t="str">
        <f t="shared" si="44"/>
        <v>Pass</v>
      </c>
    </row>
    <row r="944" spans="1:11" x14ac:dyDescent="0.25">
      <c r="A944" t="s">
        <v>13</v>
      </c>
      <c r="B944" t="s">
        <v>20</v>
      </c>
      <c r="C944" t="s">
        <v>10</v>
      </c>
      <c r="D944" t="s">
        <v>11</v>
      </c>
      <c r="E944" t="s">
        <v>12</v>
      </c>
      <c r="F944" s="1">
        <v>67.481656098348793</v>
      </c>
      <c r="G944" s="1">
        <v>70.295283564740899</v>
      </c>
      <c r="H944" s="1">
        <v>68.942910636896102</v>
      </c>
      <c r="I944" s="1">
        <f t="shared" si="42"/>
        <v>68.906616766661941</v>
      </c>
      <c r="J944" t="str">
        <f t="shared" si="43"/>
        <v>Good</v>
      </c>
      <c r="K944" t="str">
        <f t="shared" si="44"/>
        <v>Pass</v>
      </c>
    </row>
    <row r="945" spans="1:11" x14ac:dyDescent="0.25">
      <c r="A945" t="s">
        <v>13</v>
      </c>
      <c r="B945" t="s">
        <v>9</v>
      </c>
      <c r="C945" t="s">
        <v>15</v>
      </c>
      <c r="D945" t="s">
        <v>16</v>
      </c>
      <c r="E945" t="s">
        <v>17</v>
      </c>
      <c r="F945" s="1">
        <v>67.483772695585301</v>
      </c>
      <c r="G945" s="1">
        <v>70.297473752343706</v>
      </c>
      <c r="H945" s="1">
        <v>68.945082641038397</v>
      </c>
      <c r="I945" s="1">
        <f t="shared" si="42"/>
        <v>68.90877636298913</v>
      </c>
      <c r="J945" t="str">
        <f t="shared" si="43"/>
        <v>Good</v>
      </c>
      <c r="K945" t="str">
        <f t="shared" si="44"/>
        <v>Pass</v>
      </c>
    </row>
    <row r="946" spans="1:11" x14ac:dyDescent="0.25">
      <c r="A946" t="s">
        <v>8</v>
      </c>
      <c r="B946" t="s">
        <v>20</v>
      </c>
      <c r="C946" t="s">
        <v>19</v>
      </c>
      <c r="D946" t="s">
        <v>11</v>
      </c>
      <c r="E946" t="s">
        <v>17</v>
      </c>
      <c r="F946" s="1">
        <v>67.485889292821696</v>
      </c>
      <c r="G946" s="1">
        <v>70.299663939946498</v>
      </c>
      <c r="H946" s="1">
        <v>68.947254645180706</v>
      </c>
      <c r="I946" s="1">
        <f t="shared" si="42"/>
        <v>68.910935959316305</v>
      </c>
      <c r="J946" t="str">
        <f t="shared" si="43"/>
        <v>Good</v>
      </c>
      <c r="K946" t="str">
        <f t="shared" si="44"/>
        <v>Pass</v>
      </c>
    </row>
    <row r="947" spans="1:11" x14ac:dyDescent="0.25">
      <c r="A947" t="s">
        <v>8</v>
      </c>
      <c r="B947" t="s">
        <v>9</v>
      </c>
      <c r="C947" t="s">
        <v>22</v>
      </c>
      <c r="D947" t="s">
        <v>16</v>
      </c>
      <c r="E947" t="s">
        <v>17</v>
      </c>
      <c r="F947" s="1">
        <v>67.488005890058204</v>
      </c>
      <c r="G947" s="1">
        <v>70.301854127549305</v>
      </c>
      <c r="H947" s="1">
        <v>68.949426649323001</v>
      </c>
      <c r="I947" s="1">
        <f t="shared" si="42"/>
        <v>68.913095555643508</v>
      </c>
      <c r="J947" t="str">
        <f t="shared" si="43"/>
        <v>Good</v>
      </c>
      <c r="K947" t="str">
        <f t="shared" si="44"/>
        <v>Pass</v>
      </c>
    </row>
    <row r="948" spans="1:11" x14ac:dyDescent="0.25">
      <c r="A948" t="s">
        <v>8</v>
      </c>
      <c r="B948" t="s">
        <v>9</v>
      </c>
      <c r="C948" t="s">
        <v>15</v>
      </c>
      <c r="D948" t="s">
        <v>16</v>
      </c>
      <c r="E948" t="s">
        <v>12</v>
      </c>
      <c r="F948" s="1">
        <v>67.490122487294698</v>
      </c>
      <c r="G948" s="1">
        <v>70.304044315152098</v>
      </c>
      <c r="H948" s="1">
        <v>68.951598653465297</v>
      </c>
      <c r="I948" s="1">
        <f t="shared" si="42"/>
        <v>68.915255151970698</v>
      </c>
      <c r="J948" t="str">
        <f t="shared" si="43"/>
        <v>Good</v>
      </c>
      <c r="K948" t="str">
        <f t="shared" si="44"/>
        <v>Pass</v>
      </c>
    </row>
    <row r="949" spans="1:11" x14ac:dyDescent="0.25">
      <c r="A949" t="s">
        <v>13</v>
      </c>
      <c r="B949" t="s">
        <v>20</v>
      </c>
      <c r="C949" t="s">
        <v>21</v>
      </c>
      <c r="D949" t="s">
        <v>11</v>
      </c>
      <c r="E949" t="s">
        <v>12</v>
      </c>
      <c r="F949" s="1">
        <v>67.492239084531107</v>
      </c>
      <c r="G949" s="1">
        <v>70.306234502754805</v>
      </c>
      <c r="H949" s="1">
        <v>68.953770657607507</v>
      </c>
      <c r="I949" s="1">
        <f t="shared" si="42"/>
        <v>68.917414748297801</v>
      </c>
      <c r="J949" t="str">
        <f t="shared" si="43"/>
        <v>Good</v>
      </c>
      <c r="K949" t="str">
        <f t="shared" si="44"/>
        <v>Pass</v>
      </c>
    </row>
    <row r="950" spans="1:11" x14ac:dyDescent="0.25">
      <c r="A950" t="s">
        <v>13</v>
      </c>
      <c r="B950" t="s">
        <v>20</v>
      </c>
      <c r="C950" t="s">
        <v>22</v>
      </c>
      <c r="D950" t="s">
        <v>11</v>
      </c>
      <c r="E950" t="s">
        <v>12</v>
      </c>
      <c r="F950" s="1">
        <v>67.494355681767601</v>
      </c>
      <c r="G950" s="1">
        <v>70.308424690357597</v>
      </c>
      <c r="H950" s="1">
        <v>68.955942661749802</v>
      </c>
      <c r="I950" s="1">
        <f t="shared" si="42"/>
        <v>68.919574344625005</v>
      </c>
      <c r="J950" t="str">
        <f t="shared" si="43"/>
        <v>Good</v>
      </c>
      <c r="K950" t="str">
        <f t="shared" si="44"/>
        <v>Pass</v>
      </c>
    </row>
    <row r="951" spans="1:11" x14ac:dyDescent="0.25">
      <c r="A951" t="s">
        <v>13</v>
      </c>
      <c r="B951" t="s">
        <v>9</v>
      </c>
      <c r="C951" t="s">
        <v>22</v>
      </c>
      <c r="D951" t="s">
        <v>11</v>
      </c>
      <c r="E951" t="s">
        <v>17</v>
      </c>
      <c r="F951" s="1">
        <v>67.496472279004095</v>
      </c>
      <c r="G951" s="1">
        <v>70.310614877960404</v>
      </c>
      <c r="H951" s="1">
        <v>68.958114665892097</v>
      </c>
      <c r="I951" s="1">
        <f t="shared" si="42"/>
        <v>68.921733940952194</v>
      </c>
      <c r="J951" t="str">
        <f t="shared" si="43"/>
        <v>Good</v>
      </c>
      <c r="K951" t="str">
        <f t="shared" si="44"/>
        <v>Pass</v>
      </c>
    </row>
    <row r="952" spans="1:11" x14ac:dyDescent="0.25">
      <c r="A952" t="s">
        <v>13</v>
      </c>
      <c r="B952" t="s">
        <v>23</v>
      </c>
      <c r="C952" t="s">
        <v>19</v>
      </c>
      <c r="D952" t="s">
        <v>11</v>
      </c>
      <c r="E952" t="s">
        <v>12</v>
      </c>
      <c r="F952" s="1">
        <v>67.498588876240504</v>
      </c>
      <c r="G952" s="1">
        <v>70.312805065563197</v>
      </c>
      <c r="H952" s="1">
        <v>68.960286670034407</v>
      </c>
      <c r="I952" s="1">
        <f t="shared" si="42"/>
        <v>68.923893537279369</v>
      </c>
      <c r="J952" t="str">
        <f t="shared" si="43"/>
        <v>Good</v>
      </c>
      <c r="K952" t="str">
        <f t="shared" si="44"/>
        <v>Pass</v>
      </c>
    </row>
    <row r="953" spans="1:11" x14ac:dyDescent="0.25">
      <c r="A953" t="s">
        <v>8</v>
      </c>
      <c r="B953" t="s">
        <v>20</v>
      </c>
      <c r="C953" t="s">
        <v>10</v>
      </c>
      <c r="D953" t="s">
        <v>16</v>
      </c>
      <c r="E953" t="s">
        <v>17</v>
      </c>
      <c r="F953" s="1">
        <v>67.500705473476998</v>
      </c>
      <c r="G953" s="1">
        <v>70.314995253166003</v>
      </c>
      <c r="H953" s="1">
        <v>68.962458674176602</v>
      </c>
      <c r="I953" s="1">
        <f t="shared" si="42"/>
        <v>68.926053133606544</v>
      </c>
      <c r="J953" t="str">
        <f t="shared" si="43"/>
        <v>Good</v>
      </c>
      <c r="K953" t="str">
        <f t="shared" si="44"/>
        <v>Pass</v>
      </c>
    </row>
    <row r="954" spans="1:11" x14ac:dyDescent="0.25">
      <c r="A954" t="s">
        <v>13</v>
      </c>
      <c r="B954" t="s">
        <v>20</v>
      </c>
      <c r="C954" t="s">
        <v>19</v>
      </c>
      <c r="D954" t="s">
        <v>16</v>
      </c>
      <c r="E954" t="s">
        <v>12</v>
      </c>
      <c r="F954" s="1">
        <v>67.502822070713506</v>
      </c>
      <c r="G954" s="1">
        <v>70.317185440768796</v>
      </c>
      <c r="H954" s="1">
        <v>68.964630678318898</v>
      </c>
      <c r="I954" s="1">
        <f t="shared" si="42"/>
        <v>68.928212729933719</v>
      </c>
      <c r="J954" t="str">
        <f t="shared" si="43"/>
        <v>Good</v>
      </c>
      <c r="K954" t="str">
        <f t="shared" si="44"/>
        <v>Pass</v>
      </c>
    </row>
    <row r="955" spans="1:11" x14ac:dyDescent="0.25">
      <c r="A955" t="s">
        <v>8</v>
      </c>
      <c r="B955" t="s">
        <v>18</v>
      </c>
      <c r="C955" t="s">
        <v>21</v>
      </c>
      <c r="D955" t="s">
        <v>11</v>
      </c>
      <c r="E955" t="s">
        <v>17</v>
      </c>
      <c r="F955" s="1">
        <v>67.504938667949901</v>
      </c>
      <c r="G955" s="1">
        <v>70.319375628371503</v>
      </c>
      <c r="H955" s="1">
        <v>68.966802682461207</v>
      </c>
      <c r="I955" s="1">
        <f t="shared" si="42"/>
        <v>68.930372326260866</v>
      </c>
      <c r="J955" t="str">
        <f t="shared" si="43"/>
        <v>Good</v>
      </c>
      <c r="K955" t="str">
        <f t="shared" si="44"/>
        <v>Pass</v>
      </c>
    </row>
    <row r="956" spans="1:11" x14ac:dyDescent="0.25">
      <c r="A956" t="s">
        <v>13</v>
      </c>
      <c r="B956" t="s">
        <v>20</v>
      </c>
      <c r="C956" t="s">
        <v>24</v>
      </c>
      <c r="D956" t="s">
        <v>16</v>
      </c>
      <c r="E956" t="s">
        <v>17</v>
      </c>
      <c r="F956" s="1">
        <v>67.507055265186395</v>
      </c>
      <c r="G956" s="1">
        <v>70.321565815974296</v>
      </c>
      <c r="H956" s="1">
        <v>68.968974686603502</v>
      </c>
      <c r="I956" s="1">
        <f t="shared" si="42"/>
        <v>68.932531922588069</v>
      </c>
      <c r="J956" t="str">
        <f t="shared" si="43"/>
        <v>Good</v>
      </c>
      <c r="K956" t="str">
        <f t="shared" si="44"/>
        <v>Pass</v>
      </c>
    </row>
    <row r="957" spans="1:11" x14ac:dyDescent="0.25">
      <c r="A957" t="s">
        <v>8</v>
      </c>
      <c r="B957" t="s">
        <v>14</v>
      </c>
      <c r="C957" t="s">
        <v>10</v>
      </c>
      <c r="D957" t="s">
        <v>11</v>
      </c>
      <c r="E957" t="s">
        <v>17</v>
      </c>
      <c r="F957" s="1">
        <v>67.509171862422903</v>
      </c>
      <c r="G957" s="1">
        <v>70.323756003577103</v>
      </c>
      <c r="H957" s="1">
        <v>68.971146690745698</v>
      </c>
      <c r="I957" s="1">
        <f t="shared" si="42"/>
        <v>68.934691518915244</v>
      </c>
      <c r="J957" t="str">
        <f t="shared" si="43"/>
        <v>Good</v>
      </c>
      <c r="K957" t="str">
        <f t="shared" si="44"/>
        <v>Pass</v>
      </c>
    </row>
    <row r="958" spans="1:11" x14ac:dyDescent="0.25">
      <c r="A958" t="s">
        <v>8</v>
      </c>
      <c r="B958" t="s">
        <v>18</v>
      </c>
      <c r="C958" t="s">
        <v>10</v>
      </c>
      <c r="D958" t="s">
        <v>11</v>
      </c>
      <c r="E958" t="s">
        <v>12</v>
      </c>
      <c r="F958" s="1">
        <v>67.511288459659397</v>
      </c>
      <c r="G958" s="1">
        <v>70.325946191179895</v>
      </c>
      <c r="H958" s="1">
        <v>68.973318694887993</v>
      </c>
      <c r="I958" s="1">
        <f t="shared" si="42"/>
        <v>68.936851115242419</v>
      </c>
      <c r="J958" t="str">
        <f t="shared" si="43"/>
        <v>Good</v>
      </c>
      <c r="K958" t="str">
        <f t="shared" si="44"/>
        <v>Pass</v>
      </c>
    </row>
    <row r="959" spans="1:11" x14ac:dyDescent="0.25">
      <c r="A959" t="s">
        <v>13</v>
      </c>
      <c r="B959" t="s">
        <v>23</v>
      </c>
      <c r="C959" t="s">
        <v>24</v>
      </c>
      <c r="D959" t="s">
        <v>11</v>
      </c>
      <c r="E959" t="s">
        <v>17</v>
      </c>
      <c r="F959" s="1">
        <v>67.513405056895806</v>
      </c>
      <c r="G959" s="1">
        <v>70.328136378782702</v>
      </c>
      <c r="H959" s="1">
        <v>68.975490699030303</v>
      </c>
      <c r="I959" s="1">
        <f t="shared" si="42"/>
        <v>68.939010711569594</v>
      </c>
      <c r="J959" t="str">
        <f t="shared" si="43"/>
        <v>Good</v>
      </c>
      <c r="K959" t="str">
        <f t="shared" si="44"/>
        <v>Pass</v>
      </c>
    </row>
    <row r="960" spans="1:11" x14ac:dyDescent="0.25">
      <c r="A960" t="s">
        <v>8</v>
      </c>
      <c r="B960" t="s">
        <v>18</v>
      </c>
      <c r="C960" t="s">
        <v>10</v>
      </c>
      <c r="D960" t="s">
        <v>11</v>
      </c>
      <c r="E960" t="s">
        <v>17</v>
      </c>
      <c r="F960" s="1">
        <v>67.5155216541323</v>
      </c>
      <c r="G960" s="1">
        <v>70.330326566385494</v>
      </c>
      <c r="H960" s="1">
        <v>68.977662703172598</v>
      </c>
      <c r="I960" s="1">
        <f t="shared" si="42"/>
        <v>68.941170307896797</v>
      </c>
      <c r="J960" t="str">
        <f t="shared" si="43"/>
        <v>Good</v>
      </c>
      <c r="K960" t="str">
        <f t="shared" si="44"/>
        <v>Pass</v>
      </c>
    </row>
    <row r="961" spans="1:11" x14ac:dyDescent="0.25">
      <c r="A961" t="s">
        <v>8</v>
      </c>
      <c r="B961" t="s">
        <v>23</v>
      </c>
      <c r="C961" t="s">
        <v>22</v>
      </c>
      <c r="D961" t="s">
        <v>11</v>
      </c>
      <c r="E961" t="s">
        <v>17</v>
      </c>
      <c r="F961" s="1">
        <v>67.517638251368794</v>
      </c>
      <c r="G961" s="1">
        <v>70.332516753988301</v>
      </c>
      <c r="H961" s="1">
        <v>68.979834707314893</v>
      </c>
      <c r="I961" s="1">
        <f t="shared" si="42"/>
        <v>68.943329904224001</v>
      </c>
      <c r="J961" t="str">
        <f t="shared" si="43"/>
        <v>Good</v>
      </c>
      <c r="K961" t="str">
        <f t="shared" si="44"/>
        <v>Pass</v>
      </c>
    </row>
    <row r="962" spans="1:11" x14ac:dyDescent="0.25">
      <c r="A962" t="s">
        <v>8</v>
      </c>
      <c r="B962" t="s">
        <v>23</v>
      </c>
      <c r="C962" t="s">
        <v>21</v>
      </c>
      <c r="D962" t="s">
        <v>16</v>
      </c>
      <c r="E962" t="s">
        <v>17</v>
      </c>
      <c r="F962" s="1">
        <v>67.519754848605203</v>
      </c>
      <c r="G962" s="1">
        <v>70.334706941591094</v>
      </c>
      <c r="H962" s="1">
        <v>68.982006711457103</v>
      </c>
      <c r="I962" s="1">
        <f t="shared" ref="I962:I1000" si="45">AVERAGE(F962:H962)</f>
        <v>68.945489500551133</v>
      </c>
      <c r="J962" t="str">
        <f t="shared" ref="J962:J1000" si="46">IF(I962&gt;=80,"Excellent", IF(I962&gt;=60,"Good", IF(I962&gt;=40,"Average","Poor")))</f>
        <v>Good</v>
      </c>
      <c r="K962" t="str">
        <f t="shared" ref="K962:K1000" si="47">IF(I962&gt;=40, "Pass","Fail")</f>
        <v>Pass</v>
      </c>
    </row>
    <row r="963" spans="1:11" x14ac:dyDescent="0.25">
      <c r="A963" t="s">
        <v>13</v>
      </c>
      <c r="B963" t="s">
        <v>18</v>
      </c>
      <c r="C963" t="s">
        <v>15</v>
      </c>
      <c r="D963" t="s">
        <v>11</v>
      </c>
      <c r="E963" t="s">
        <v>12</v>
      </c>
      <c r="F963" s="1">
        <v>67.521871445841697</v>
      </c>
      <c r="G963" s="1">
        <v>70.336897129193801</v>
      </c>
      <c r="H963" s="1">
        <v>68.984178715599398</v>
      </c>
      <c r="I963" s="1">
        <f t="shared" si="45"/>
        <v>68.947649096878294</v>
      </c>
      <c r="J963" t="str">
        <f t="shared" si="46"/>
        <v>Good</v>
      </c>
      <c r="K963" t="str">
        <f t="shared" si="47"/>
        <v>Pass</v>
      </c>
    </row>
    <row r="964" spans="1:11" x14ac:dyDescent="0.25">
      <c r="A964" t="s">
        <v>13</v>
      </c>
      <c r="B964" t="s">
        <v>14</v>
      </c>
      <c r="C964" t="s">
        <v>10</v>
      </c>
      <c r="D964" t="s">
        <v>11</v>
      </c>
      <c r="E964" t="s">
        <v>17</v>
      </c>
      <c r="F964" s="1">
        <v>67.523988043078106</v>
      </c>
      <c r="G964" s="1">
        <v>70.339087316796594</v>
      </c>
      <c r="H964" s="1">
        <v>68.986350719741694</v>
      </c>
      <c r="I964" s="1">
        <f t="shared" si="45"/>
        <v>68.949808693205469</v>
      </c>
      <c r="J964" t="str">
        <f t="shared" si="46"/>
        <v>Good</v>
      </c>
      <c r="K964" t="str">
        <f t="shared" si="47"/>
        <v>Pass</v>
      </c>
    </row>
    <row r="965" spans="1:11" x14ac:dyDescent="0.25">
      <c r="A965" t="s">
        <v>8</v>
      </c>
      <c r="B965" t="s">
        <v>23</v>
      </c>
      <c r="C965" t="s">
        <v>21</v>
      </c>
      <c r="D965" t="s">
        <v>16</v>
      </c>
      <c r="E965" t="s">
        <v>12</v>
      </c>
      <c r="F965" s="1">
        <v>67.5261046403146</v>
      </c>
      <c r="G965" s="1">
        <v>70.3412775043994</v>
      </c>
      <c r="H965" s="1">
        <v>68.988522723884003</v>
      </c>
      <c r="I965" s="1">
        <f t="shared" si="45"/>
        <v>68.951968289532658</v>
      </c>
      <c r="J965" t="str">
        <f t="shared" si="46"/>
        <v>Good</v>
      </c>
      <c r="K965" t="str">
        <f t="shared" si="47"/>
        <v>Pass</v>
      </c>
    </row>
    <row r="966" spans="1:11" x14ac:dyDescent="0.25">
      <c r="A966" t="s">
        <v>8</v>
      </c>
      <c r="B966" t="s">
        <v>14</v>
      </c>
      <c r="C966" t="s">
        <v>10</v>
      </c>
      <c r="D966" t="s">
        <v>11</v>
      </c>
      <c r="E966" t="s">
        <v>17</v>
      </c>
      <c r="F966" s="1">
        <v>67.528221237551094</v>
      </c>
      <c r="G966" s="1">
        <v>70.343467692002207</v>
      </c>
      <c r="H966" s="1">
        <v>68.990694728026199</v>
      </c>
      <c r="I966" s="1">
        <f t="shared" si="45"/>
        <v>68.954127885859833</v>
      </c>
      <c r="J966" t="str">
        <f t="shared" si="46"/>
        <v>Good</v>
      </c>
      <c r="K966" t="str">
        <f t="shared" si="47"/>
        <v>Pass</v>
      </c>
    </row>
    <row r="967" spans="1:11" x14ac:dyDescent="0.25">
      <c r="A967" t="s">
        <v>13</v>
      </c>
      <c r="B967" t="s">
        <v>23</v>
      </c>
      <c r="C967" t="s">
        <v>15</v>
      </c>
      <c r="D967" t="s">
        <v>16</v>
      </c>
      <c r="E967" t="s">
        <v>17</v>
      </c>
      <c r="F967" s="1">
        <v>67.530337834787602</v>
      </c>
      <c r="G967" s="1">
        <v>70.345657879605</v>
      </c>
      <c r="H967" s="1">
        <v>68.992866732168494</v>
      </c>
      <c r="I967" s="1">
        <f t="shared" si="45"/>
        <v>68.956287482187037</v>
      </c>
      <c r="J967" t="str">
        <f t="shared" si="46"/>
        <v>Good</v>
      </c>
      <c r="K967" t="str">
        <f t="shared" si="47"/>
        <v>Pass</v>
      </c>
    </row>
    <row r="968" spans="1:11" x14ac:dyDescent="0.25">
      <c r="A968" t="s">
        <v>13</v>
      </c>
      <c r="B968" t="s">
        <v>23</v>
      </c>
      <c r="C968" t="s">
        <v>21</v>
      </c>
      <c r="D968" t="s">
        <v>11</v>
      </c>
      <c r="E968" t="s">
        <v>17</v>
      </c>
      <c r="F968" s="1">
        <v>67.532454432023997</v>
      </c>
      <c r="G968" s="1">
        <v>70.347848067207806</v>
      </c>
      <c r="H968" s="1">
        <v>68.995038736310804</v>
      </c>
      <c r="I968" s="1">
        <f t="shared" si="45"/>
        <v>68.958447078514197</v>
      </c>
      <c r="J968" t="str">
        <f t="shared" si="46"/>
        <v>Good</v>
      </c>
      <c r="K968" t="str">
        <f t="shared" si="47"/>
        <v>Pass</v>
      </c>
    </row>
    <row r="969" spans="1:11" x14ac:dyDescent="0.25">
      <c r="A969" t="s">
        <v>13</v>
      </c>
      <c r="B969" t="s">
        <v>23</v>
      </c>
      <c r="C969" t="s">
        <v>10</v>
      </c>
      <c r="D969" t="s">
        <v>16</v>
      </c>
      <c r="E969" t="s">
        <v>17</v>
      </c>
      <c r="F969" s="1">
        <v>67.534571029260505</v>
      </c>
      <c r="G969" s="1">
        <v>70.350038254810499</v>
      </c>
      <c r="H969" s="1">
        <v>68.997210740453099</v>
      </c>
      <c r="I969" s="1">
        <f t="shared" si="45"/>
        <v>68.960606674841372</v>
      </c>
      <c r="J969" t="str">
        <f t="shared" si="46"/>
        <v>Good</v>
      </c>
      <c r="K969" t="str">
        <f t="shared" si="47"/>
        <v>Pass</v>
      </c>
    </row>
    <row r="970" spans="1:11" x14ac:dyDescent="0.25">
      <c r="A970" t="s">
        <v>8</v>
      </c>
      <c r="B970" t="s">
        <v>14</v>
      </c>
      <c r="C970" t="s">
        <v>10</v>
      </c>
      <c r="D970" t="s">
        <v>16</v>
      </c>
      <c r="E970" t="s">
        <v>17</v>
      </c>
      <c r="F970" s="1">
        <v>67.536687626496999</v>
      </c>
      <c r="G970" s="1">
        <v>70.352228442413306</v>
      </c>
      <c r="H970" s="1">
        <v>68.999382744595394</v>
      </c>
      <c r="I970" s="1">
        <f t="shared" si="45"/>
        <v>68.962766271168562</v>
      </c>
      <c r="J970" t="str">
        <f t="shared" si="46"/>
        <v>Good</v>
      </c>
      <c r="K970" t="str">
        <f t="shared" si="47"/>
        <v>Pass</v>
      </c>
    </row>
    <row r="971" spans="1:11" x14ac:dyDescent="0.25">
      <c r="A971" t="s">
        <v>13</v>
      </c>
      <c r="B971" t="s">
        <v>23</v>
      </c>
      <c r="C971" t="s">
        <v>19</v>
      </c>
      <c r="D971" t="s">
        <v>11</v>
      </c>
      <c r="E971" t="s">
        <v>12</v>
      </c>
      <c r="F971" s="1">
        <v>67.538804223733393</v>
      </c>
      <c r="G971" s="1">
        <v>70.354418630016099</v>
      </c>
      <c r="H971" s="1">
        <v>69.001554748737604</v>
      </c>
      <c r="I971" s="1">
        <f t="shared" si="45"/>
        <v>68.964925867495694</v>
      </c>
      <c r="J971" t="str">
        <f t="shared" si="46"/>
        <v>Good</v>
      </c>
      <c r="K971" t="str">
        <f t="shared" si="47"/>
        <v>Pass</v>
      </c>
    </row>
    <row r="972" spans="1:11" x14ac:dyDescent="0.25">
      <c r="A972" t="s">
        <v>13</v>
      </c>
      <c r="B972" t="s">
        <v>23</v>
      </c>
      <c r="C972" t="s">
        <v>22</v>
      </c>
      <c r="D972" t="s">
        <v>11</v>
      </c>
      <c r="E972" t="s">
        <v>12</v>
      </c>
      <c r="F972" s="1">
        <v>67.540920820969902</v>
      </c>
      <c r="G972" s="1">
        <v>70.356608817618906</v>
      </c>
      <c r="H972" s="1">
        <v>69.003726752879899</v>
      </c>
      <c r="I972" s="1">
        <f t="shared" si="45"/>
        <v>68.967085463822912</v>
      </c>
      <c r="J972" t="str">
        <f t="shared" si="46"/>
        <v>Good</v>
      </c>
      <c r="K972" t="str">
        <f t="shared" si="47"/>
        <v>Pass</v>
      </c>
    </row>
    <row r="973" spans="1:11" x14ac:dyDescent="0.25">
      <c r="A973" t="s">
        <v>8</v>
      </c>
      <c r="B973" t="s">
        <v>14</v>
      </c>
      <c r="C973" t="s">
        <v>21</v>
      </c>
      <c r="D973" t="s">
        <v>11</v>
      </c>
      <c r="E973" t="s">
        <v>12</v>
      </c>
      <c r="F973" s="1">
        <v>67.543037418206396</v>
      </c>
      <c r="G973" s="1">
        <v>70.358799005221698</v>
      </c>
      <c r="H973" s="1">
        <v>69.005898757022194</v>
      </c>
      <c r="I973" s="1">
        <f t="shared" si="45"/>
        <v>68.969245060150101</v>
      </c>
      <c r="J973" t="str">
        <f t="shared" si="46"/>
        <v>Good</v>
      </c>
      <c r="K973" t="str">
        <f t="shared" si="47"/>
        <v>Pass</v>
      </c>
    </row>
    <row r="974" spans="1:11" x14ac:dyDescent="0.25">
      <c r="A974" t="s">
        <v>13</v>
      </c>
      <c r="B974" t="s">
        <v>14</v>
      </c>
      <c r="C974" t="s">
        <v>19</v>
      </c>
      <c r="D974" t="s">
        <v>16</v>
      </c>
      <c r="E974" t="s">
        <v>17</v>
      </c>
      <c r="F974" s="1">
        <v>67.545154015442805</v>
      </c>
      <c r="G974" s="1">
        <v>70.360989192824505</v>
      </c>
      <c r="H974" s="1">
        <v>69.008070761164504</v>
      </c>
      <c r="I974" s="1">
        <f t="shared" si="45"/>
        <v>68.971404656477276</v>
      </c>
      <c r="J974" t="str">
        <f t="shared" si="46"/>
        <v>Good</v>
      </c>
      <c r="K974" t="str">
        <f t="shared" si="47"/>
        <v>Pass</v>
      </c>
    </row>
    <row r="975" spans="1:11" x14ac:dyDescent="0.25">
      <c r="A975" t="s">
        <v>8</v>
      </c>
      <c r="B975" t="s">
        <v>18</v>
      </c>
      <c r="C975" t="s">
        <v>15</v>
      </c>
      <c r="D975" t="s">
        <v>11</v>
      </c>
      <c r="E975" t="s">
        <v>17</v>
      </c>
      <c r="F975" s="1">
        <v>67.547270612679299</v>
      </c>
      <c r="G975" s="1">
        <v>70.363179380427297</v>
      </c>
      <c r="H975" s="1">
        <v>69.0102427653067</v>
      </c>
      <c r="I975" s="1">
        <f t="shared" si="45"/>
        <v>68.973564252804422</v>
      </c>
      <c r="J975" t="str">
        <f t="shared" si="46"/>
        <v>Good</v>
      </c>
      <c r="K975" t="str">
        <f t="shared" si="47"/>
        <v>Pass</v>
      </c>
    </row>
    <row r="976" spans="1:11" x14ac:dyDescent="0.25">
      <c r="A976" t="s">
        <v>8</v>
      </c>
      <c r="B976" t="s">
        <v>14</v>
      </c>
      <c r="C976" t="s">
        <v>19</v>
      </c>
      <c r="D976" t="s">
        <v>16</v>
      </c>
      <c r="E976" t="s">
        <v>17</v>
      </c>
      <c r="F976" s="1">
        <v>67.549387209915807</v>
      </c>
      <c r="G976" s="1">
        <v>70.365369568030005</v>
      </c>
      <c r="H976" s="1">
        <v>69.012414769448995</v>
      </c>
      <c r="I976" s="1">
        <f t="shared" si="45"/>
        <v>68.975723849131597</v>
      </c>
      <c r="J976" t="str">
        <f t="shared" si="46"/>
        <v>Good</v>
      </c>
      <c r="K976" t="str">
        <f t="shared" si="47"/>
        <v>Pass</v>
      </c>
    </row>
    <row r="977" spans="1:11" x14ac:dyDescent="0.25">
      <c r="A977" t="s">
        <v>13</v>
      </c>
      <c r="B977" t="s">
        <v>18</v>
      </c>
      <c r="C977" t="s">
        <v>15</v>
      </c>
      <c r="D977" t="s">
        <v>11</v>
      </c>
      <c r="E977" t="s">
        <v>17</v>
      </c>
      <c r="F977" s="1">
        <v>67.551503807152201</v>
      </c>
      <c r="G977" s="1">
        <v>70.367559755632797</v>
      </c>
      <c r="H977" s="1">
        <v>69.014586773591304</v>
      </c>
      <c r="I977" s="1">
        <f t="shared" si="45"/>
        <v>68.977883445458772</v>
      </c>
      <c r="J977" t="str">
        <f t="shared" si="46"/>
        <v>Good</v>
      </c>
      <c r="K977" t="str">
        <f t="shared" si="47"/>
        <v>Pass</v>
      </c>
    </row>
    <row r="978" spans="1:11" x14ac:dyDescent="0.25">
      <c r="A978" t="s">
        <v>8</v>
      </c>
      <c r="B978" t="s">
        <v>18</v>
      </c>
      <c r="C978" t="s">
        <v>15</v>
      </c>
      <c r="D978" t="s">
        <v>11</v>
      </c>
      <c r="E978" t="s">
        <v>12</v>
      </c>
      <c r="F978" s="1">
        <v>67.553620404388695</v>
      </c>
      <c r="G978" s="1">
        <v>70.369749943235604</v>
      </c>
      <c r="H978" s="1">
        <v>69.0167587777336</v>
      </c>
      <c r="I978" s="1">
        <f t="shared" si="45"/>
        <v>68.980043041785976</v>
      </c>
      <c r="J978" t="str">
        <f t="shared" si="46"/>
        <v>Good</v>
      </c>
      <c r="K978" t="str">
        <f t="shared" si="47"/>
        <v>Pass</v>
      </c>
    </row>
    <row r="979" spans="1:11" x14ac:dyDescent="0.25">
      <c r="A979" t="s">
        <v>8</v>
      </c>
      <c r="B979" t="s">
        <v>9</v>
      </c>
      <c r="C979" t="s">
        <v>22</v>
      </c>
      <c r="D979" t="s">
        <v>11</v>
      </c>
      <c r="E979" t="s">
        <v>12</v>
      </c>
      <c r="F979" s="1">
        <v>67.555737001625204</v>
      </c>
      <c r="G979" s="1">
        <v>70.371940130838396</v>
      </c>
      <c r="H979" s="1">
        <v>69.018930781875895</v>
      </c>
      <c r="I979" s="1">
        <f t="shared" si="45"/>
        <v>68.982202638113165</v>
      </c>
      <c r="J979" t="str">
        <f t="shared" si="46"/>
        <v>Good</v>
      </c>
      <c r="K979" t="str">
        <f t="shared" si="47"/>
        <v>Pass</v>
      </c>
    </row>
    <row r="980" spans="1:11" x14ac:dyDescent="0.25">
      <c r="A980" t="s">
        <v>8</v>
      </c>
      <c r="B980" t="s">
        <v>14</v>
      </c>
      <c r="C980" t="s">
        <v>24</v>
      </c>
      <c r="D980" t="s">
        <v>11</v>
      </c>
      <c r="E980" t="s">
        <v>12</v>
      </c>
      <c r="F980" s="1">
        <v>67.557853598861598</v>
      </c>
      <c r="G980" s="1">
        <v>70.374130318441203</v>
      </c>
      <c r="H980" s="1">
        <v>69.021102786018105</v>
      </c>
      <c r="I980" s="1">
        <f t="shared" si="45"/>
        <v>68.984362234440297</v>
      </c>
      <c r="J980" t="str">
        <f t="shared" si="46"/>
        <v>Good</v>
      </c>
      <c r="K980" t="str">
        <f t="shared" si="47"/>
        <v>Pass</v>
      </c>
    </row>
    <row r="981" spans="1:11" x14ac:dyDescent="0.25">
      <c r="A981" t="s">
        <v>13</v>
      </c>
      <c r="B981" t="s">
        <v>23</v>
      </c>
      <c r="C981" t="s">
        <v>15</v>
      </c>
      <c r="D981" t="s">
        <v>16</v>
      </c>
      <c r="E981" t="s">
        <v>12</v>
      </c>
      <c r="F981" s="1">
        <v>67.559970196098106</v>
      </c>
      <c r="G981" s="1">
        <v>70.376320506043996</v>
      </c>
      <c r="H981" s="1">
        <v>69.0232747901604</v>
      </c>
      <c r="I981" s="1">
        <f t="shared" si="45"/>
        <v>68.986521830767501</v>
      </c>
      <c r="J981" t="str">
        <f t="shared" si="46"/>
        <v>Good</v>
      </c>
      <c r="K981" t="str">
        <f t="shared" si="47"/>
        <v>Pass</v>
      </c>
    </row>
    <row r="982" spans="1:11" x14ac:dyDescent="0.25">
      <c r="A982" t="s">
        <v>8</v>
      </c>
      <c r="B982" t="s">
        <v>23</v>
      </c>
      <c r="C982" t="s">
        <v>10</v>
      </c>
      <c r="D982" t="s">
        <v>11</v>
      </c>
      <c r="E982" t="s">
        <v>17</v>
      </c>
      <c r="F982" s="1">
        <v>67.562086793334601</v>
      </c>
      <c r="G982" s="1">
        <v>70.378510693646803</v>
      </c>
      <c r="H982" s="1">
        <v>69.025446794302695</v>
      </c>
      <c r="I982" s="1">
        <f t="shared" si="45"/>
        <v>68.988681427094704</v>
      </c>
      <c r="J982" t="str">
        <f t="shared" si="46"/>
        <v>Good</v>
      </c>
      <c r="K982" t="str">
        <f t="shared" si="47"/>
        <v>Pass</v>
      </c>
    </row>
    <row r="983" spans="1:11" x14ac:dyDescent="0.25">
      <c r="A983" t="s">
        <v>13</v>
      </c>
      <c r="B983" t="s">
        <v>14</v>
      </c>
      <c r="C983" t="s">
        <v>15</v>
      </c>
      <c r="D983" t="s">
        <v>16</v>
      </c>
      <c r="E983" t="s">
        <v>17</v>
      </c>
      <c r="F983" s="1">
        <v>67.564203390570995</v>
      </c>
      <c r="G983" s="1">
        <v>70.380700881249496</v>
      </c>
      <c r="H983" s="1">
        <v>69.027618798445005</v>
      </c>
      <c r="I983" s="1">
        <f t="shared" si="45"/>
        <v>68.990841023421822</v>
      </c>
      <c r="J983" t="str">
        <f t="shared" si="46"/>
        <v>Good</v>
      </c>
      <c r="K983" t="str">
        <f t="shared" si="47"/>
        <v>Pass</v>
      </c>
    </row>
    <row r="984" spans="1:11" x14ac:dyDescent="0.25">
      <c r="A984" t="s">
        <v>8</v>
      </c>
      <c r="B984" t="s">
        <v>20</v>
      </c>
      <c r="C984" t="s">
        <v>10</v>
      </c>
      <c r="D984" t="s">
        <v>11</v>
      </c>
      <c r="E984" t="s">
        <v>17</v>
      </c>
      <c r="F984" s="1">
        <v>67.566319987807503</v>
      </c>
      <c r="G984" s="1">
        <v>70.382891068852302</v>
      </c>
      <c r="H984" s="1">
        <v>69.0297908025872</v>
      </c>
      <c r="I984" s="1">
        <f t="shared" si="45"/>
        <v>68.993000619748997</v>
      </c>
      <c r="J984" t="str">
        <f t="shared" si="46"/>
        <v>Good</v>
      </c>
      <c r="K984" t="str">
        <f t="shared" si="47"/>
        <v>Pass</v>
      </c>
    </row>
    <row r="985" spans="1:11" x14ac:dyDescent="0.25">
      <c r="A985" t="s">
        <v>13</v>
      </c>
      <c r="B985" t="s">
        <v>23</v>
      </c>
      <c r="C985" t="s">
        <v>10</v>
      </c>
      <c r="D985" t="s">
        <v>11</v>
      </c>
      <c r="E985" t="s">
        <v>17</v>
      </c>
      <c r="F985" s="1">
        <v>67.568436585043997</v>
      </c>
      <c r="G985" s="1">
        <v>70.385081256455095</v>
      </c>
      <c r="H985" s="1">
        <v>69.031962806729496</v>
      </c>
      <c r="I985" s="1">
        <f t="shared" si="45"/>
        <v>68.995160216076201</v>
      </c>
      <c r="J985" t="str">
        <f t="shared" si="46"/>
        <v>Good</v>
      </c>
      <c r="K985" t="str">
        <f t="shared" si="47"/>
        <v>Pass</v>
      </c>
    </row>
    <row r="986" spans="1:11" x14ac:dyDescent="0.25">
      <c r="A986" t="s">
        <v>13</v>
      </c>
      <c r="B986" t="s">
        <v>23</v>
      </c>
      <c r="C986" t="s">
        <v>21</v>
      </c>
      <c r="D986" t="s">
        <v>11</v>
      </c>
      <c r="E986" t="s">
        <v>12</v>
      </c>
      <c r="F986" s="1">
        <v>67.570553182280406</v>
      </c>
      <c r="G986" s="1">
        <v>70.387271444057902</v>
      </c>
      <c r="H986" s="1">
        <v>69.034134810871805</v>
      </c>
      <c r="I986" s="1">
        <f t="shared" si="45"/>
        <v>68.997319812403376</v>
      </c>
      <c r="J986" t="str">
        <f t="shared" si="46"/>
        <v>Good</v>
      </c>
      <c r="K986" t="str">
        <f t="shared" si="47"/>
        <v>Pass</v>
      </c>
    </row>
    <row r="987" spans="1:11" x14ac:dyDescent="0.25">
      <c r="A987" t="s">
        <v>8</v>
      </c>
      <c r="B987" t="s">
        <v>23</v>
      </c>
      <c r="C987" t="s">
        <v>21</v>
      </c>
      <c r="D987" t="s">
        <v>11</v>
      </c>
      <c r="E987" t="s">
        <v>17</v>
      </c>
      <c r="F987" s="1">
        <v>67.5726697795169</v>
      </c>
      <c r="G987" s="1">
        <v>70.389461631660694</v>
      </c>
      <c r="H987" s="1">
        <v>69.0363068150141</v>
      </c>
      <c r="I987" s="1">
        <f t="shared" si="45"/>
        <v>68.999479408730565</v>
      </c>
      <c r="J987" t="str">
        <f t="shared" si="46"/>
        <v>Good</v>
      </c>
      <c r="K987" t="str">
        <f t="shared" si="47"/>
        <v>Pass</v>
      </c>
    </row>
    <row r="988" spans="1:11" x14ac:dyDescent="0.25">
      <c r="A988" t="s">
        <v>13</v>
      </c>
      <c r="B988" t="s">
        <v>20</v>
      </c>
      <c r="C988" t="s">
        <v>19</v>
      </c>
      <c r="D988" t="s">
        <v>11</v>
      </c>
      <c r="E988" t="s">
        <v>17</v>
      </c>
      <c r="F988" s="1">
        <v>67.574786376753394</v>
      </c>
      <c r="G988" s="1">
        <v>70.391651819263501</v>
      </c>
      <c r="H988" s="1">
        <v>69.038478819156396</v>
      </c>
      <c r="I988" s="1">
        <f t="shared" si="45"/>
        <v>69.001639005057768</v>
      </c>
      <c r="J988" t="str">
        <f t="shared" si="46"/>
        <v>Good</v>
      </c>
      <c r="K988" t="str">
        <f t="shared" si="47"/>
        <v>Pass</v>
      </c>
    </row>
    <row r="989" spans="1:11" x14ac:dyDescent="0.25">
      <c r="A989" t="s">
        <v>13</v>
      </c>
      <c r="B989" t="s">
        <v>23</v>
      </c>
      <c r="C989" t="s">
        <v>15</v>
      </c>
      <c r="D989" t="s">
        <v>11</v>
      </c>
      <c r="E989" t="s">
        <v>12</v>
      </c>
      <c r="F989" s="1">
        <v>67.576902973989803</v>
      </c>
      <c r="G989" s="1">
        <v>70.393842006866294</v>
      </c>
      <c r="H989" s="1">
        <v>69.040650823298606</v>
      </c>
      <c r="I989" s="1">
        <f t="shared" si="45"/>
        <v>69.003798601384901</v>
      </c>
      <c r="J989" t="str">
        <f t="shared" si="46"/>
        <v>Good</v>
      </c>
      <c r="K989" t="str">
        <f t="shared" si="47"/>
        <v>Pass</v>
      </c>
    </row>
    <row r="990" spans="1:11" x14ac:dyDescent="0.25">
      <c r="A990" t="s">
        <v>8</v>
      </c>
      <c r="B990" t="s">
        <v>20</v>
      </c>
      <c r="C990" t="s">
        <v>24</v>
      </c>
      <c r="D990" t="s">
        <v>16</v>
      </c>
      <c r="E990" t="s">
        <v>17</v>
      </c>
      <c r="F990" s="1">
        <v>67.579019571226297</v>
      </c>
      <c r="G990" s="1">
        <v>70.396032194469001</v>
      </c>
      <c r="H990" s="1">
        <v>69.042822827440901</v>
      </c>
      <c r="I990" s="1">
        <f t="shared" si="45"/>
        <v>69.005958197712062</v>
      </c>
      <c r="J990" t="str">
        <f t="shared" si="46"/>
        <v>Good</v>
      </c>
      <c r="K990" t="str">
        <f t="shared" si="47"/>
        <v>Pass</v>
      </c>
    </row>
    <row r="991" spans="1:11" x14ac:dyDescent="0.25">
      <c r="A991" t="s">
        <v>13</v>
      </c>
      <c r="B991" t="s">
        <v>23</v>
      </c>
      <c r="C991" t="s">
        <v>10</v>
      </c>
      <c r="D991" t="s">
        <v>11</v>
      </c>
      <c r="E991" t="s">
        <v>17</v>
      </c>
      <c r="F991" s="1">
        <v>67.581136168462805</v>
      </c>
      <c r="G991" s="1">
        <v>70.398222382071793</v>
      </c>
      <c r="H991" s="1">
        <v>69.044994831583196</v>
      </c>
      <c r="I991" s="1">
        <f t="shared" si="45"/>
        <v>69.008117794039265</v>
      </c>
      <c r="J991" t="str">
        <f t="shared" si="46"/>
        <v>Good</v>
      </c>
      <c r="K991" t="str">
        <f t="shared" si="47"/>
        <v>Pass</v>
      </c>
    </row>
    <row r="992" spans="1:11" x14ac:dyDescent="0.25">
      <c r="A992" t="s">
        <v>13</v>
      </c>
      <c r="B992" t="s">
        <v>23</v>
      </c>
      <c r="C992" t="s">
        <v>19</v>
      </c>
      <c r="D992" t="s">
        <v>11</v>
      </c>
      <c r="E992" t="s">
        <v>17</v>
      </c>
      <c r="F992" s="1">
        <v>67.583252765699299</v>
      </c>
      <c r="G992" s="1">
        <v>70.4004125696746</v>
      </c>
      <c r="H992" s="1">
        <v>69.047166835725406</v>
      </c>
      <c r="I992" s="1">
        <f t="shared" si="45"/>
        <v>69.010277390366426</v>
      </c>
      <c r="J992" t="str">
        <f t="shared" si="46"/>
        <v>Good</v>
      </c>
      <c r="K992" t="str">
        <f t="shared" si="47"/>
        <v>Pass</v>
      </c>
    </row>
    <row r="993" spans="1:11" x14ac:dyDescent="0.25">
      <c r="A993" t="s">
        <v>13</v>
      </c>
      <c r="B993" t="s">
        <v>14</v>
      </c>
      <c r="C993" t="s">
        <v>10</v>
      </c>
      <c r="D993" t="s">
        <v>16</v>
      </c>
      <c r="E993" t="s">
        <v>17</v>
      </c>
      <c r="F993" s="1">
        <v>67.585369362935694</v>
      </c>
      <c r="G993" s="1">
        <v>70.402602757277407</v>
      </c>
      <c r="H993" s="1">
        <v>69.049338839867701</v>
      </c>
      <c r="I993" s="1">
        <f t="shared" si="45"/>
        <v>69.012436986693601</v>
      </c>
      <c r="J993" t="str">
        <f t="shared" si="46"/>
        <v>Good</v>
      </c>
      <c r="K993" t="str">
        <f t="shared" si="47"/>
        <v>Pass</v>
      </c>
    </row>
    <row r="994" spans="1:11" x14ac:dyDescent="0.25">
      <c r="A994" t="s">
        <v>8</v>
      </c>
      <c r="B994" t="s">
        <v>23</v>
      </c>
      <c r="C994" t="s">
        <v>21</v>
      </c>
      <c r="D994" t="s">
        <v>11</v>
      </c>
      <c r="E994" t="s">
        <v>17</v>
      </c>
      <c r="F994" s="1">
        <v>67.587485960172202</v>
      </c>
      <c r="G994" s="1">
        <v>70.404792944880199</v>
      </c>
      <c r="H994" s="1">
        <v>69.051510844009997</v>
      </c>
      <c r="I994" s="1">
        <f t="shared" si="45"/>
        <v>69.014596583020804</v>
      </c>
      <c r="J994" t="str">
        <f t="shared" si="46"/>
        <v>Good</v>
      </c>
      <c r="K994" t="str">
        <f t="shared" si="47"/>
        <v>Pass</v>
      </c>
    </row>
    <row r="995" spans="1:11" x14ac:dyDescent="0.25">
      <c r="A995" t="s">
        <v>8</v>
      </c>
      <c r="B995" t="s">
        <v>14</v>
      </c>
      <c r="C995" t="s">
        <v>15</v>
      </c>
      <c r="D995" t="s">
        <v>11</v>
      </c>
      <c r="E995" t="s">
        <v>17</v>
      </c>
      <c r="F995" s="1">
        <v>67.589602557408696</v>
      </c>
      <c r="G995" s="1">
        <v>70.406983132483006</v>
      </c>
      <c r="H995" s="1">
        <v>69.053682848152306</v>
      </c>
      <c r="I995" s="1">
        <f t="shared" si="45"/>
        <v>69.016756179348008</v>
      </c>
      <c r="J995" t="str">
        <f t="shared" si="46"/>
        <v>Good</v>
      </c>
      <c r="K995" t="str">
        <f t="shared" si="47"/>
        <v>Pass</v>
      </c>
    </row>
    <row r="996" spans="1:11" x14ac:dyDescent="0.25">
      <c r="A996" t="s">
        <v>13</v>
      </c>
      <c r="B996" t="s">
        <v>20</v>
      </c>
      <c r="C996" t="s">
        <v>22</v>
      </c>
      <c r="D996" t="s">
        <v>11</v>
      </c>
      <c r="E996" t="s">
        <v>17</v>
      </c>
      <c r="F996" s="1">
        <v>67.591719154645105</v>
      </c>
      <c r="G996" s="1">
        <v>70.409173320085699</v>
      </c>
      <c r="H996" s="1">
        <v>69.055854852294601</v>
      </c>
      <c r="I996" s="1">
        <f t="shared" si="45"/>
        <v>69.018915775675126</v>
      </c>
      <c r="J996" t="str">
        <f t="shared" si="46"/>
        <v>Good</v>
      </c>
      <c r="K996" t="str">
        <f t="shared" si="47"/>
        <v>Pass</v>
      </c>
    </row>
    <row r="997" spans="1:11" x14ac:dyDescent="0.25">
      <c r="A997" t="s">
        <v>13</v>
      </c>
      <c r="B997" t="s">
        <v>14</v>
      </c>
      <c r="C997" t="s">
        <v>15</v>
      </c>
      <c r="D997" t="s">
        <v>16</v>
      </c>
      <c r="E997" t="s">
        <v>17</v>
      </c>
      <c r="F997" s="1">
        <v>67.593835751881599</v>
      </c>
      <c r="G997" s="1">
        <v>70.411363507688506</v>
      </c>
      <c r="H997" s="1">
        <v>69.058026856436797</v>
      </c>
      <c r="I997" s="1">
        <f t="shared" si="45"/>
        <v>69.021075372002301</v>
      </c>
      <c r="J997" t="str">
        <f t="shared" si="46"/>
        <v>Good</v>
      </c>
      <c r="K997" t="str">
        <f t="shared" si="47"/>
        <v>Pass</v>
      </c>
    </row>
    <row r="998" spans="1:11" x14ac:dyDescent="0.25">
      <c r="A998" t="s">
        <v>13</v>
      </c>
      <c r="B998" t="s">
        <v>23</v>
      </c>
      <c r="C998" t="s">
        <v>21</v>
      </c>
      <c r="D998" t="s">
        <v>16</v>
      </c>
      <c r="E998" t="s">
        <v>17</v>
      </c>
      <c r="F998" s="1">
        <v>67.595952349118093</v>
      </c>
      <c r="G998" s="1">
        <v>70.413553695291299</v>
      </c>
      <c r="H998" s="1">
        <v>69.060198860579106</v>
      </c>
      <c r="I998" s="1">
        <f t="shared" si="45"/>
        <v>69.023234968329504</v>
      </c>
      <c r="J998" t="str">
        <f t="shared" si="46"/>
        <v>Good</v>
      </c>
      <c r="K998" t="str">
        <f t="shared" si="47"/>
        <v>Pass</v>
      </c>
    </row>
    <row r="999" spans="1:11" x14ac:dyDescent="0.25">
      <c r="A999" t="s">
        <v>8</v>
      </c>
      <c r="B999" t="s">
        <v>20</v>
      </c>
      <c r="C999" t="s">
        <v>10</v>
      </c>
      <c r="D999" t="s">
        <v>11</v>
      </c>
      <c r="E999" t="s">
        <v>12</v>
      </c>
      <c r="F999" s="1">
        <v>67.598068946354502</v>
      </c>
      <c r="G999" s="1">
        <v>70.415743882894105</v>
      </c>
      <c r="H999" s="1">
        <v>69.062370864721402</v>
      </c>
      <c r="I999" s="1">
        <f t="shared" si="45"/>
        <v>69.025394564656665</v>
      </c>
      <c r="J999" t="str">
        <f t="shared" si="46"/>
        <v>Good</v>
      </c>
      <c r="K999" t="str">
        <f t="shared" si="47"/>
        <v>Pass</v>
      </c>
    </row>
    <row r="1000" spans="1:11" x14ac:dyDescent="0.25">
      <c r="A1000" t="s">
        <v>13</v>
      </c>
      <c r="B1000" t="s">
        <v>20</v>
      </c>
      <c r="C1000" t="s">
        <v>21</v>
      </c>
      <c r="D1000" t="s">
        <v>16</v>
      </c>
      <c r="E1000" t="s">
        <v>17</v>
      </c>
      <c r="F1000" s="1">
        <v>67.600185543590996</v>
      </c>
      <c r="G1000" s="1">
        <v>70.417934070496898</v>
      </c>
      <c r="H1000" s="1">
        <v>69.064542868863697</v>
      </c>
      <c r="I1000" s="1">
        <f t="shared" si="45"/>
        <v>69.027554160983854</v>
      </c>
      <c r="J1000" t="str">
        <f t="shared" si="46"/>
        <v>Good</v>
      </c>
      <c r="K1000" t="str">
        <f t="shared" si="47"/>
        <v>Pass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7C3711FDDAD4A90B0EB7CC69BE776" ma:contentTypeVersion="1" ma:contentTypeDescription="Create a new document." ma:contentTypeScope="" ma:versionID="3591a4e44ed616c2e58f639f835d0dcb">
  <xsd:schema xmlns:xsd="http://www.w3.org/2001/XMLSchema" xmlns:xs="http://www.w3.org/2001/XMLSchema" xmlns:p="http://schemas.microsoft.com/office/2006/metadata/properties" xmlns:ns3="c7593cad-fb1a-4e21-b9da-aaeff0f24b49" targetNamespace="http://schemas.microsoft.com/office/2006/metadata/properties" ma:root="true" ma:fieldsID="46661385e4a2e829bea0ce5033bed29b" ns3:_="">
    <xsd:import namespace="c7593cad-fb1a-4e21-b9da-aaeff0f24b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3cad-fb1a-4e21-b9da-aaeff0f24b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BC2DF-11DF-428C-A785-37F99D70597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c7593cad-fb1a-4e21-b9da-aaeff0f24b49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30B89F6-5379-4AC1-AE20-C6B5B62A1D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379BE3-B43F-42D4-880C-3862D9265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93cad-fb1a-4e21-b9da-aaeff0f24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Gender Analysis</vt:lpstr>
      <vt:lpstr>Test Prep Analysis</vt:lpstr>
      <vt:lpstr>Parent Education Anaysis</vt:lpstr>
      <vt:lpstr>Performance Distribution</vt:lpstr>
      <vt:lpstr>Pass Fail Analysis</vt:lpstr>
      <vt:lpstr>Insights</vt:lpstr>
      <vt:lpstr>Studens performance cleaned.xls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Sudharsan Anand Kumar</dc:creator>
  <cp:lastModifiedBy>S0282098</cp:lastModifiedBy>
  <dcterms:created xsi:type="dcterms:W3CDTF">2026-06-05T05:48:34Z</dcterms:created>
  <dcterms:modified xsi:type="dcterms:W3CDTF">2026-06-05T13:58:29Z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0x010100AF37C3711FDDAD4A90B0EB7CC69BE776</vt:lpwstr>
  </property>
</Properties>
</file>